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elle" sheetId="1" r:id="rId5"/>
    <sheet state="visible" name="Lune" sheetId="2" r:id="rId6"/>
    <sheet state="visible" name="Monoco" sheetId="3" r:id="rId7"/>
    <sheet state="visible" name="Sciel" sheetId="4" r:id="rId8"/>
    <sheet state="visible" name="Verso" sheetId="5" r:id="rId9"/>
  </sheets>
  <definedNames/>
  <calcPr/>
</workbook>
</file>

<file path=xl/sharedStrings.xml><?xml version="1.0" encoding="utf-8"?>
<sst xmlns="http://schemas.openxmlformats.org/spreadsheetml/2006/main" count="814" uniqueCount="383">
  <si>
    <t>Skill</t>
  </si>
  <si>
    <t>Damage Multi</t>
  </si>
  <si>
    <t>Condition</t>
  </si>
  <si>
    <t>DmMax</t>
  </si>
  <si>
    <t>Notes</t>
  </si>
  <si>
    <t>Stance</t>
  </si>
  <si>
    <t>AOE</t>
  </si>
  <si>
    <t>Break Multi</t>
  </si>
  <si>
    <t>Cost</t>
  </si>
  <si>
    <t>BaseDmg/AP</t>
  </si>
  <si>
    <t>MaxDmg/AP</t>
  </si>
  <si>
    <t>Game Description</t>
  </si>
  <si>
    <t>Base Attack</t>
  </si>
  <si>
    <t>Test AP</t>
  </si>
  <si>
    <t>Test 1</t>
  </si>
  <si>
    <t>T2</t>
  </si>
  <si>
    <t>Gommage</t>
  </si>
  <si>
    <t>Instantly kills "weak" enemies.</t>
  </si>
  <si>
    <t>Virtuoso</t>
  </si>
  <si>
    <t>Gradient 3</t>
  </si>
  <si>
    <t>extreme</t>
  </si>
  <si>
    <t>Burning Canvas</t>
  </si>
  <si>
    <t>100Burn Stacks</t>
  </si>
  <si>
    <t>10% more dmg per burn up to +1000%. Applies burn each hit. 5 hits and the consecutive hits already benefit from the burns</t>
  </si>
  <si>
    <t>Offensive</t>
  </si>
  <si>
    <t>high</t>
  </si>
  <si>
    <t>Stendhal</t>
  </si>
  <si>
    <t>Applies Defenseless to Maelle 5turns and removes her shields</t>
  </si>
  <si>
    <t>Stanceless</t>
  </si>
  <si>
    <t>G-Homage</t>
  </si>
  <si>
    <t>Marked</t>
  </si>
  <si>
    <t>50% increased Dmg vs Marked, Doesnt Consume Mark</t>
  </si>
  <si>
    <t>Sword Ballet</t>
  </si>
  <si>
    <t>All crits</t>
  </si>
  <si>
    <t>Double on Crits</t>
  </si>
  <si>
    <t>Defensive</t>
  </si>
  <si>
    <t>Combustion</t>
  </si>
  <si>
    <t>Consume 10Burn</t>
  </si>
  <si>
    <t xml:space="preserve">Consumes burns for +40% dmg each up to 10Burns. </t>
  </si>
  <si>
    <t>medium</t>
  </si>
  <si>
    <t>Momentum Strike</t>
  </si>
  <si>
    <t>-3 Ap cost in Virtuoso Stance. Double Dmg vs Marked</t>
  </si>
  <si>
    <t>Payback</t>
  </si>
  <si>
    <t>1 less AP cost for each parried attack this turn</t>
  </si>
  <si>
    <t>very high</t>
  </si>
  <si>
    <t>Pyrolyse</t>
  </si>
  <si>
    <t>Applies 15 Burn, 21 in Offensive Stance. Burn total: +6.03/+8.44</t>
  </si>
  <si>
    <t>Percee</t>
  </si>
  <si>
    <t>2xDMG vs marked, before the 1.5x mark bonus. -3 Cost in Virtuoso</t>
  </si>
  <si>
    <t>Phantom Strike</t>
  </si>
  <si>
    <t>Fills Gradient Metre 35%</t>
  </si>
  <si>
    <t>Revenge</t>
  </si>
  <si>
    <t>1 Hit taken</t>
  </si>
  <si>
    <t>150% More damage for each hit taken last round. Can Break</t>
  </si>
  <si>
    <t>Rain of Fire</t>
  </si>
  <si>
    <t>Applies 3 Burn, 5 in Defensive Stance. Burn total: +1.2/+2.01</t>
  </si>
  <si>
    <t>Fleuret Fury</t>
  </si>
  <si>
    <t>Breaks, Only stays in Virtuoso Stance</t>
  </si>
  <si>
    <t>Virtuoso*</t>
  </si>
  <si>
    <t>Burn 5</t>
  </si>
  <si>
    <t>3 Turns</t>
  </si>
  <si>
    <t>Virtuose Strike</t>
  </si>
  <si>
    <t>Gradient 1</t>
  </si>
  <si>
    <t>Fencer's Flurry</t>
  </si>
  <si>
    <t>Applies Defenseless 1turn</t>
  </si>
  <si>
    <t>Video Guide</t>
  </si>
  <si>
    <t>Breaking Rules</t>
  </si>
  <si>
    <t>Removes Shields, +1Ap per shield. Play again vs Defenseless</t>
  </si>
  <si>
    <t>low</t>
  </si>
  <si>
    <t>Spark</t>
  </si>
  <si>
    <t>Total Burn 5</t>
  </si>
  <si>
    <t>Applies 3 Burn, 5 Burn in Offensive Stance. Burn total: +1.2/+2.01</t>
  </si>
  <si>
    <t>Maelle Skill Tierlist</t>
  </si>
  <si>
    <t>Offensive Switch</t>
  </si>
  <si>
    <t>Applies Defenseless 3turns</t>
  </si>
  <si>
    <t>Degagement</t>
  </si>
  <si>
    <t>Applies Fire Weakness 2 turns</t>
  </si>
  <si>
    <t>Break Damage Guide</t>
  </si>
  <si>
    <t>Swift Stride</t>
  </si>
  <si>
    <t>Virtuoso agains Burning enemy. No QTE dmg boost, restores 0-2AP</t>
  </si>
  <si>
    <t>Basic Attack</t>
  </si>
  <si>
    <t>All Characters</t>
  </si>
  <si>
    <t>Burn 1</t>
  </si>
  <si>
    <t>Ranged Attack</t>
  </si>
  <si>
    <t>Condition 1</t>
  </si>
  <si>
    <t>Dmg Con1</t>
  </si>
  <si>
    <t>Con Max Dmg</t>
  </si>
  <si>
    <t>Dmg Max</t>
  </si>
  <si>
    <t>BreakMulti</t>
  </si>
  <si>
    <t>Test Basic Attack Dmg</t>
  </si>
  <si>
    <t>T3</t>
  </si>
  <si>
    <t>SkyBreak Gradient Attack 3</t>
  </si>
  <si>
    <t>Grad 3</t>
  </si>
  <si>
    <t>Lightning Dance</t>
  </si>
  <si>
    <t>Stains 3</t>
  </si>
  <si>
    <t>3 Stains all crits</t>
  </si>
  <si>
    <t>Double hits on Crit</t>
  </si>
  <si>
    <t>Hell</t>
  </si>
  <si>
    <t>Stain+3 Burn Ticks</t>
  </si>
  <si>
    <t>Burn 10</t>
  </si>
  <si>
    <t>Elemental Genesis</t>
  </si>
  <si>
    <t>Stains 4</t>
  </si>
  <si>
    <t>Typhoon</t>
  </si>
  <si>
    <t>Turn Start Dmg</t>
  </si>
  <si>
    <t>Stain over 5 Turns</t>
  </si>
  <si>
    <t>Team Regen, 12.2 no stain Total dmg</t>
  </si>
  <si>
    <t>Crystal Crush</t>
  </si>
  <si>
    <t>Stains 2</t>
  </si>
  <si>
    <t>Crippling Tsunami</t>
  </si>
  <si>
    <t>Slows 3 turns</t>
  </si>
  <si>
    <t>Rockslide</t>
  </si>
  <si>
    <t>Can Break.</t>
  </si>
  <si>
    <t>Mayhem</t>
  </si>
  <si>
    <t>2 Stains</t>
  </si>
  <si>
    <t>4 Stains</t>
  </si>
  <si>
    <t>Consumes all stains.</t>
  </si>
  <si>
    <t>Terraquake</t>
  </si>
  <si>
    <t>Total 5 Turns</t>
  </si>
  <si>
    <t>50% increased break debuff, 3-5 Turns, 6.36 No stain total</t>
  </si>
  <si>
    <t>Fire Rage Stained</t>
  </si>
  <si>
    <t xml:space="preserve">Stains 2 t2 </t>
  </si>
  <si>
    <t>Stained t3</t>
  </si>
  <si>
    <t>Rapidly increases in damage but the growth diminishes %wise. Complicated Formula.</t>
  </si>
  <si>
    <t>Thunderfall</t>
  </si>
  <si>
    <t>Stains 1</t>
  </si>
  <si>
    <t>Crit every hit+stain</t>
  </si>
  <si>
    <t>Tremor Gradient Attack 1</t>
  </si>
  <si>
    <t>Grad 1</t>
  </si>
  <si>
    <t>Removes enemy shields</t>
  </si>
  <si>
    <t>Storm Caller</t>
  </si>
  <si>
    <t>Secondary</t>
  </si>
  <si>
    <t>2 Stains 3 Turns +hits?</t>
  </si>
  <si>
    <t>Secondary Dmg affects allies</t>
  </si>
  <si>
    <t>Lune Skill Tierlist</t>
  </si>
  <si>
    <t>Fire Rage</t>
  </si>
  <si>
    <t>t2</t>
  </si>
  <si>
    <t>t3</t>
  </si>
  <si>
    <t xml:space="preserve">Rapidly increases in damage but the growth diminishes %wise. Complicated Formula. </t>
  </si>
  <si>
    <t>Wildfire</t>
  </si>
  <si>
    <t>Stain+burn 3</t>
  </si>
  <si>
    <t>Burn 3</t>
  </si>
  <si>
    <t>Immolation</t>
  </si>
  <si>
    <t>Stain+3T Burn</t>
  </si>
  <si>
    <t>Burn 3, Burn 5 vs marked</t>
  </si>
  <si>
    <t>Earth Rising</t>
  </si>
  <si>
    <t>Electrify</t>
  </si>
  <si>
    <t>Stain 1</t>
  </si>
  <si>
    <t>Crit</t>
  </si>
  <si>
    <t>Double on crit.</t>
  </si>
  <si>
    <t>Ice Lance</t>
  </si>
  <si>
    <t>Elemental Trick</t>
  </si>
  <si>
    <t>Stains on crit. 1hit of each element.</t>
  </si>
  <si>
    <t>burn 3</t>
  </si>
  <si>
    <t>Thermal Transfer</t>
  </si>
  <si>
    <t>Play again with stains. +0-2 AP vs burning.</t>
  </si>
  <si>
    <t>burn 1</t>
  </si>
  <si>
    <t>Mask</t>
  </si>
  <si>
    <t>Test Basic Attack</t>
  </si>
  <si>
    <t>Lampmaster Light 5</t>
  </si>
  <si>
    <t>ALMIGHTY</t>
  </si>
  <si>
    <t>Mask 5.Use</t>
  </si>
  <si>
    <t>adds +4.66/23.33 after each use, dmg cap at 5</t>
  </si>
  <si>
    <t>Lampmaster Light 4</t>
  </si>
  <si>
    <t>Mask 4.Use</t>
  </si>
  <si>
    <t>Lampmaster Light 3</t>
  </si>
  <si>
    <t>Mask 3.Use</t>
  </si>
  <si>
    <t>Creation Void</t>
  </si>
  <si>
    <t>Caster</t>
  </si>
  <si>
    <t>Vs single target</t>
  </si>
  <si>
    <t>Breakpoint</t>
  </si>
  <si>
    <t xml:space="preserve">Gradient </t>
  </si>
  <si>
    <t>Mighty Strike</t>
  </si>
  <si>
    <t>Double vs stunned</t>
  </si>
  <si>
    <t>Sakapate Estoc</t>
  </si>
  <si>
    <t>Balanced</t>
  </si>
  <si>
    <t>Stunned+ Mask</t>
  </si>
  <si>
    <t>x7.2 on stunned (x6 as skill effect, x1.2 general stunned modifier</t>
  </si>
  <si>
    <t>Duallist Storm</t>
  </si>
  <si>
    <t>Can break</t>
  </si>
  <si>
    <t>Lampmaster Light 2</t>
  </si>
  <si>
    <t>Mask 2.Use</t>
  </si>
  <si>
    <t>Sakapate Fire</t>
  </si>
  <si>
    <t>Mask+ 3T Burn9</t>
  </si>
  <si>
    <t>Burn 9</t>
  </si>
  <si>
    <t>Cultist Slashes</t>
  </si>
  <si>
    <t>Agile</t>
  </si>
  <si>
    <t>Mask low life</t>
  </si>
  <si>
    <t>up to 3.5x Dmg on low life; 8.6 on low life no mask</t>
  </si>
  <si>
    <t>Sakapate Slam</t>
  </si>
  <si>
    <t>Heavy</t>
  </si>
  <si>
    <t>Marked+Mask</t>
  </si>
  <si>
    <t>2xDMG vs marked, before the 1.5x mark bonus</t>
  </si>
  <si>
    <t>Obscur Sword</t>
  </si>
  <si>
    <t>Powerless+Mask</t>
  </si>
  <si>
    <t>Double dmg vs Powerless</t>
  </si>
  <si>
    <t>Danseuse Waltz</t>
  </si>
  <si>
    <t>Mask +vs Burned</t>
  </si>
  <si>
    <t>x1.5 vs burned</t>
  </si>
  <si>
    <t>Monoco Skill Tierlist</t>
  </si>
  <si>
    <t>Portier Crash</t>
  </si>
  <si>
    <t>AOE Break</t>
  </si>
  <si>
    <t>Chevalier Thrusts</t>
  </si>
  <si>
    <t>Mask All crits</t>
  </si>
  <si>
    <t>Eveque Spear</t>
  </si>
  <si>
    <t>Applies Powerless</t>
  </si>
  <si>
    <t>Chalier Combo</t>
  </si>
  <si>
    <t>Lampmaster Light 1</t>
  </si>
  <si>
    <t>Sapling Absorbtion</t>
  </si>
  <si>
    <t>Heals 15/30%</t>
  </si>
  <si>
    <t>Moissonneuse Vendange</t>
  </si>
  <si>
    <t>Can Break</t>
  </si>
  <si>
    <t>Sakapate Explosion</t>
  </si>
  <si>
    <t>Double hits on Crit, Random Targets</t>
  </si>
  <si>
    <t>Glaise Earthquakes</t>
  </si>
  <si>
    <t>Applies Powerful, AOE buff with Mask</t>
  </si>
  <si>
    <t>Cultist Blood</t>
  </si>
  <si>
    <t>Mask Full life</t>
  </si>
  <si>
    <t>Mask full life</t>
  </si>
  <si>
    <t>up to 3x Dmg sacrificing health, useless at low hp</t>
  </si>
  <si>
    <t>Bruler Bash</t>
  </si>
  <si>
    <t>Echassier Stabs</t>
  </si>
  <si>
    <t>Applies Mark</t>
  </si>
  <si>
    <t>Contorsionniste Blast</t>
  </si>
  <si>
    <t>Heals allies 10% per enemy</t>
  </si>
  <si>
    <t>Chapelier Slash</t>
  </si>
  <si>
    <t>Abberation Light</t>
  </si>
  <si>
    <t>add 3t Burn 8 dmg</t>
  </si>
  <si>
    <t>add 3t Burn 12 Dmg</t>
  </si>
  <si>
    <t>8 Burn, 12 Burn with masks</t>
  </si>
  <si>
    <t>Braseleur Smash</t>
  </si>
  <si>
    <t>Mask +3T Burn 6</t>
  </si>
  <si>
    <t>6 Burn</t>
  </si>
  <si>
    <t>Benisseur Mortar</t>
  </si>
  <si>
    <t>Switch to Almighty Mask vs Marked</t>
  </si>
  <si>
    <t>Jar Lampstorm</t>
  </si>
  <si>
    <t>Applies 3t Shell to self</t>
  </si>
  <si>
    <t>Stalact Punches</t>
  </si>
  <si>
    <t>Clair Enfeeble</t>
  </si>
  <si>
    <t>Grosse Tete Whack</t>
  </si>
  <si>
    <t>Applies Defenseless</t>
  </si>
  <si>
    <t>Gault Fury</t>
  </si>
  <si>
    <t>Chevaliere Ice</t>
  </si>
  <si>
    <t>Applies Slow</t>
  </si>
  <si>
    <t>Luster Slices</t>
  </si>
  <si>
    <t>Applies Rush</t>
  </si>
  <si>
    <t>Chevaliere Piercing</t>
  </si>
  <si>
    <t>Pierce+ 30% dmg-bonus per shield</t>
  </si>
  <si>
    <t>Rocher Hammering</t>
  </si>
  <si>
    <t>Lancelier Impale</t>
  </si>
  <si>
    <t>Hexga Crush</t>
  </si>
  <si>
    <t>Applies Defenseless, longer with Mask</t>
  </si>
  <si>
    <t>Ballet Charm</t>
  </si>
  <si>
    <t>Demineur Thunder</t>
  </si>
  <si>
    <t>Double Break with Mask Upgrade</t>
  </si>
  <si>
    <t>Ramasseur Bonk</t>
  </si>
  <si>
    <t>Abbest Wind</t>
  </si>
  <si>
    <t>Burn 12</t>
  </si>
  <si>
    <t>Burn 8</t>
  </si>
  <si>
    <t xml:space="preserve">Counter </t>
  </si>
  <si>
    <t>ConDmg</t>
  </si>
  <si>
    <t>ConTwilight</t>
  </si>
  <si>
    <t>TwilightDmg</t>
  </si>
  <si>
    <t>Foretell</t>
  </si>
  <si>
    <t>Lunar</t>
  </si>
  <si>
    <t>End Slice 30 Foretell</t>
  </si>
  <si>
    <t>30 Foretell</t>
  </si>
  <si>
    <t>50% Twilight, 30 Foretell</t>
  </si>
  <si>
    <t>20% increased damage per total Fortell consumed this fight.</t>
  </si>
  <si>
    <t>Moon</t>
  </si>
  <si>
    <t>Our Sacrifice</t>
  </si>
  <si>
    <t>10 Foretell Full life</t>
  </si>
  <si>
    <t>Full life, 20 Foretell, 50% TL</t>
  </si>
  <si>
    <t xml:space="preserve">30% more damage per Foretell. Consumes all (but 1%) allies health for damage 1.5% more damage per % (+297%% at full life) </t>
  </si>
  <si>
    <t>Consume all</t>
  </si>
  <si>
    <t>Twilight Dance</t>
  </si>
  <si>
    <t>10 Foretell</t>
  </si>
  <si>
    <t>50% Twilight, 20 Foretell</t>
  </si>
  <si>
    <t>Extends Twilight by 1T. 25% more damage per Foretell.</t>
  </si>
  <si>
    <t>End Slice</t>
  </si>
  <si>
    <t>50% Twilight, 10 Foretell</t>
  </si>
  <si>
    <t>Phantom Blade</t>
  </si>
  <si>
    <t>Can Break. 35% more dmg per Foretell</t>
  </si>
  <si>
    <t>Dark Wave</t>
  </si>
  <si>
    <t>25% more damage per Foretell</t>
  </si>
  <si>
    <t>Delaying Slash</t>
  </si>
  <si>
    <t>30% more dmg per Foretell. Consume Fortell for damage and delay target's turn.</t>
  </si>
  <si>
    <t>Final Path</t>
  </si>
  <si>
    <t>50% Twilight</t>
  </si>
  <si>
    <t>Sun</t>
  </si>
  <si>
    <t>Sealed Fate</t>
  </si>
  <si>
    <t>1-6 Foretell</t>
  </si>
  <si>
    <t>50% Twilight 1-6 Foretell</t>
  </si>
  <si>
    <t>Each hits consumes Foretell for 3x Dmg. Crits leave Foretell</t>
  </si>
  <si>
    <t>Consume 0-6</t>
  </si>
  <si>
    <t>Doom</t>
  </si>
  <si>
    <t>Can Break. Applies Powerless, Defenceless, Slow for 3 turns.</t>
  </si>
  <si>
    <t>Gradient 2</t>
  </si>
  <si>
    <t>Twilight Slash</t>
  </si>
  <si>
    <t>25% more damage per Foretell.</t>
  </si>
  <si>
    <t>Shadow Bringer</t>
  </si>
  <si>
    <t>Random targets, 10 hits.</t>
  </si>
  <si>
    <t>Firing Shadow</t>
  </si>
  <si>
    <t>3 Foretell</t>
  </si>
  <si>
    <t>50% Twilight 3 Foretell</t>
  </si>
  <si>
    <t>Consumes up to 3 Foretell for double damage.</t>
  </si>
  <si>
    <t>Grim Harvest</t>
  </si>
  <si>
    <t>Heals allies 30% + 5%/Foretell</t>
  </si>
  <si>
    <t>Spectral Sweep</t>
  </si>
  <si>
    <t>Double Foretell on crit.</t>
  </si>
  <si>
    <t>6-12</t>
  </si>
  <si>
    <t>Searing Bond</t>
  </si>
  <si>
    <t>Hits all burning targets</t>
  </si>
  <si>
    <t>Harvest</t>
  </si>
  <si>
    <t>Heals self for 40% +5%/Foretell</t>
  </si>
  <si>
    <t>Marking Card</t>
  </si>
  <si>
    <t xml:space="preserve">Applies Mark. </t>
  </si>
  <si>
    <t>Bad Omen</t>
  </si>
  <si>
    <t>Card Weaver</t>
  </si>
  <si>
    <t>Spreads Fortell. Play again.</t>
  </si>
  <si>
    <t>Plentiful Harvest</t>
  </si>
  <si>
    <t>Grants AP to allies equal to Foretell</t>
  </si>
  <si>
    <t>Sciel Skill Tierlist</t>
  </si>
  <si>
    <t>Focused Foretell</t>
  </si>
  <si>
    <t>2 Foretell. 5 vs targets without Foretell.</t>
  </si>
  <si>
    <t>2-5</t>
  </si>
  <si>
    <t>SRankMAX</t>
  </si>
  <si>
    <t>Perfection Gain</t>
  </si>
  <si>
    <t>End Bringer</t>
  </si>
  <si>
    <t>Stunned enemy</t>
  </si>
  <si>
    <t>A: Reapplies Stun. +200% dmg vs stunned.</t>
  </si>
  <si>
    <t>0.2?</t>
  </si>
  <si>
    <t>Steeled Strike</t>
  </si>
  <si>
    <t>S</t>
  </si>
  <si>
    <t>S: +150% dmg. Dmg after 1 turn (takes 2 turns). Interrupted by dmg.</t>
  </si>
  <si>
    <t>Follow Up</t>
  </si>
  <si>
    <t>10 shots</t>
  </si>
  <si>
    <t>S: Costs 2. +50% dmg per ranged shot this turn up to 500%.</t>
  </si>
  <si>
    <t>Striker</t>
  </si>
  <si>
    <t>2?</t>
  </si>
  <si>
    <t>Berserk Slash 1% HP</t>
  </si>
  <si>
    <t>C; 1% Life</t>
  </si>
  <si>
    <t>C: +50% damage. +15% dmg per missing 1% Health up to 1500%</t>
  </si>
  <si>
    <t>Angel's Eyes</t>
  </si>
  <si>
    <t>Grants Verso a Revivication Buff</t>
  </si>
  <si>
    <t>Ascending Assault</t>
  </si>
  <si>
    <t>6.+ Use</t>
  </si>
  <si>
    <t xml:space="preserve">S: Costs 2. 30% increased damage per use up to 150%. </t>
  </si>
  <si>
    <t>Perfect Break</t>
  </si>
  <si>
    <t>B: Costs 5. Can Break. S-Rank on Break</t>
  </si>
  <si>
    <t>1?</t>
  </si>
  <si>
    <t>Phantom Stars</t>
  </si>
  <si>
    <t>S: Costs 5. Can Break.</t>
  </si>
  <si>
    <t>Strike Storm</t>
  </si>
  <si>
    <t>C</t>
  </si>
  <si>
    <t>C: +100% dmg. Triple Perfection on crits.</t>
  </si>
  <si>
    <t>5-15</t>
  </si>
  <si>
    <t>Defiant Strike</t>
  </si>
  <si>
    <t>B</t>
  </si>
  <si>
    <t>B: +50% dmg. Applies Mark. Costs 30% current HP</t>
  </si>
  <si>
    <t>Sabotage</t>
  </si>
  <si>
    <t>Speed Burst</t>
  </si>
  <si>
    <t>C: +100% dmg. Up to +100% more dmg based on speed difference.</t>
  </si>
  <si>
    <t>Purification</t>
  </si>
  <si>
    <t>B: +100% dmg. Dispels Ailments on Verso.</t>
  </si>
  <si>
    <t>From Fire</t>
  </si>
  <si>
    <t>B: +100% dmg. Heals 20% vs burning.</t>
  </si>
  <si>
    <t>Light Holder</t>
  </si>
  <si>
    <t>A: Recovers 2 AP. Interrupts if failed QTE. Rank +1 on completion.</t>
  </si>
  <si>
    <t>5+ Rank up</t>
  </si>
  <si>
    <t>Blitz</t>
  </si>
  <si>
    <t>B: +50% dmg. Play again.</t>
  </si>
  <si>
    <t>Assault Zero</t>
  </si>
  <si>
    <t>B: +100% dmg. Double Perfection on Crits</t>
  </si>
  <si>
    <t>Marking Shot</t>
  </si>
  <si>
    <t>C: +100% dmg. Applies Mark.</t>
  </si>
  <si>
    <t>Quick Strike</t>
  </si>
  <si>
    <t xml:space="preserve">D: +10 Perfection. </t>
  </si>
  <si>
    <t>Paradigm Shift</t>
  </si>
  <si>
    <t>C: +1 AP. Recovers 1-3 Ap</t>
  </si>
  <si>
    <t>Radiant Slash</t>
  </si>
  <si>
    <t>C: +50% dmg. Can Break.</t>
  </si>
  <si>
    <t>Berserk Slash full HP</t>
  </si>
  <si>
    <t>Verso Skill Tierlist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</si>
</sst>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18">
    <font>
      <sz val="10.0"/>
      <color rgb="FF000000"/>
      <name val="Arial"/>
      <scheme val="minor"/>
    </font>
    <font>
      <color theme="1"/>
      <name val="Arial"/>
      <scheme val="minor"/>
    </font>
    <font>
      <color rgb="FFFF00FF"/>
      <name val="Arial"/>
      <scheme val="minor"/>
    </font>
    <font>
      <color rgb="FFFF0000"/>
      <name val="Arial"/>
      <scheme val="minor"/>
    </font>
    <font>
      <color rgb="FF999999"/>
      <name val="Arial"/>
      <scheme val="minor"/>
    </font>
    <font>
      <color rgb="FF4A86E8"/>
      <name val="Arial"/>
      <scheme val="minor"/>
    </font>
    <font>
      <color rgb="FFEA9999"/>
      <name val="Arial"/>
      <scheme val="minor"/>
    </font>
    <font>
      <b/>
      <u/>
      <sz val="15.0"/>
      <color rgb="FF0000FF"/>
    </font>
    <font>
      <b/>
      <u/>
      <sz val="15.0"/>
      <color rgb="FF0000FF"/>
    </font>
    <font>
      <color rgb="FFCC0000"/>
      <name val="Arial"/>
      <scheme val="minor"/>
    </font>
    <font>
      <color rgb="FFE06666"/>
      <name val="Arial"/>
      <scheme val="minor"/>
    </font>
    <font>
      <color rgb="FFFF9900"/>
      <name val="Arial"/>
      <scheme val="minor"/>
    </font>
    <font>
      <color rgb="FF0000FF"/>
      <name val="Arial"/>
      <scheme val="minor"/>
    </font>
    <font>
      <color theme="7"/>
      <name val="Arial"/>
      <scheme val="minor"/>
    </font>
    <font>
      <b/>
      <sz val="15.0"/>
      <color theme="1"/>
      <name val="Arial"/>
      <scheme val="minor"/>
    </font>
    <font>
      <color rgb="FFC27BA0"/>
      <name val="Arial"/>
      <scheme val="minor"/>
    </font>
    <font>
      <color rgb="FFBF9000"/>
      <name val="Arial"/>
      <scheme val="minor"/>
    </font>
    <font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6AA84F"/>
        <bgColor rgb="FF6AA84F"/>
      </patternFill>
    </fill>
    <fill>
      <patternFill patternType="solid">
        <fgColor rgb="FF0B5394"/>
        <bgColor rgb="FF0B5394"/>
      </patternFill>
    </fill>
    <fill>
      <patternFill patternType="solid">
        <fgColor rgb="FFC27BA0"/>
        <bgColor rgb="FFC27BA0"/>
      </patternFill>
    </fill>
    <fill>
      <patternFill patternType="solid">
        <fgColor rgb="FFB45F06"/>
        <bgColor rgb="FFB45F06"/>
      </patternFill>
    </fill>
    <fill>
      <patternFill patternType="solid">
        <fgColor rgb="FF4A86E8"/>
        <bgColor rgb="FF4A86E8"/>
      </patternFill>
    </fill>
    <fill>
      <patternFill patternType="solid">
        <fgColor rgb="FF6D9EEB"/>
        <bgColor rgb="FF6D9EEB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CC0000"/>
        <bgColor rgb="FFCC0000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9900FF"/>
        <bgColor rgb="FF9900FF"/>
      </patternFill>
    </fill>
    <fill>
      <patternFill patternType="solid">
        <fgColor rgb="FFF6B26B"/>
        <bgColor rgb="FFF6B26B"/>
      </patternFill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</fills>
  <borders count="1">
    <border/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3" fontId="1" numFmtId="0" xfId="0" applyAlignment="1" applyFill="1" applyFont="1">
      <alignment horizontal="left" readingOrder="0" shrinkToFit="0" vertical="center" wrapText="1"/>
    </xf>
    <xf borderId="0" fillId="4" fontId="1" numFmtId="0" xfId="0" applyAlignment="1" applyFill="1" applyFont="1">
      <alignment horizontal="left" readingOrder="0" shrinkToFit="0" vertical="center" wrapText="1"/>
    </xf>
    <xf borderId="0" fillId="5" fontId="1" numFmtId="0" xfId="0" applyAlignment="1" applyFill="1" applyFont="1">
      <alignment horizontal="left" readingOrder="0" shrinkToFit="0" vertical="center" wrapText="1"/>
    </xf>
    <xf borderId="0" fillId="6" fontId="1" numFmtId="0" xfId="0" applyAlignment="1" applyFill="1" applyFont="1">
      <alignment horizontal="left" readingOrder="0" shrinkToFit="0" vertical="center" wrapText="1"/>
    </xf>
    <xf borderId="0" fillId="7" fontId="1" numFmtId="0" xfId="0" applyAlignment="1" applyFill="1" applyFont="1">
      <alignment horizontal="left" readingOrder="0" shrinkToFit="0" vertical="center" wrapText="1"/>
    </xf>
    <xf borderId="0" fillId="8" fontId="1" numFmtId="0" xfId="0" applyAlignment="1" applyFill="1" applyFont="1">
      <alignment horizontal="left" readingOrder="0" shrinkToFit="0" vertical="center" wrapText="1"/>
    </xf>
    <xf borderId="0" fillId="9" fontId="1" numFmtId="49" xfId="0" applyAlignment="1" applyFill="1" applyFont="1" applyNumberFormat="1">
      <alignment horizontal="left" readingOrder="0" shrinkToFit="0" vertical="center" wrapText="0"/>
    </xf>
    <xf borderId="0" fillId="9" fontId="1" numFmtId="0" xfId="0" applyAlignment="1" applyFont="1">
      <alignment horizontal="left" readingOrder="0" shrinkToFit="0" vertical="center" wrapText="1"/>
    </xf>
    <xf borderId="0" fillId="10" fontId="1" numFmtId="0" xfId="0" applyAlignment="1" applyFill="1" applyFont="1">
      <alignment horizontal="left" readingOrder="0" shrinkToFit="0" vertical="center" wrapText="1"/>
    </xf>
    <xf borderId="0" fillId="11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2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2" xfId="0" applyAlignment="1" applyFont="1" applyNumberForma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2" xfId="0" applyAlignment="1" applyFont="1" applyNumberFormat="1">
      <alignment readingOrder="0" shrinkToFit="0" vertical="center" wrapText="0"/>
    </xf>
    <xf borderId="0" fillId="0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2" xfId="0" applyFont="1" applyNumberFormat="1"/>
    <xf borderId="0" fillId="12" fontId="1" numFmtId="0" xfId="0" applyAlignment="1" applyFill="1" applyFont="1">
      <alignment horizontal="left" readingOrder="0" shrinkToFit="0" vertical="center" wrapText="1"/>
    </xf>
    <xf borderId="0" fillId="13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9" numFmtId="2" xfId="0" applyAlignment="1" applyFont="1" applyNumberFormat="1">
      <alignment shrinkToFit="0" vertical="center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0" numFmtId="2" xfId="0" applyAlignment="1" applyFont="1" applyNumberFormat="1">
      <alignment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6" numFmtId="2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1" numFmtId="0" xfId="0" applyAlignment="1" applyFont="1">
      <alignment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Alignment="1" applyFont="1">
      <alignment readingOrder="0"/>
    </xf>
    <xf borderId="0" fillId="0" fontId="1" numFmtId="164" xfId="0" applyAlignment="1" applyFont="1" applyNumberFormat="1">
      <alignment horizontal="right" readingOrder="0" shrinkToFit="0" vertical="center" wrapText="0"/>
    </xf>
    <xf borderId="0" fillId="14" fontId="1" numFmtId="0" xfId="0" applyAlignment="1" applyFill="1" applyFont="1">
      <alignment horizontal="left" readingOrder="0" shrinkToFit="0" vertical="center" wrapText="1"/>
    </xf>
    <xf borderId="0" fillId="15" fontId="1" numFmtId="0" xfId="0" applyAlignment="1" applyFill="1" applyFont="1">
      <alignment horizontal="left" readingOrder="0" shrinkToFit="0" vertical="center" wrapText="1"/>
    </xf>
    <xf borderId="0" fillId="16" fontId="1" numFmtId="0" xfId="0" applyAlignment="1" applyFill="1" applyFont="1">
      <alignment horizontal="left" readingOrder="0"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0" fontId="16" numFmtId="0" xfId="0" applyAlignment="1" applyFont="1">
      <alignment readingOrder="0" shrinkToFit="0" vertical="center" wrapText="0"/>
    </xf>
    <xf borderId="0" fillId="0" fontId="1" numFmtId="1" xfId="0" applyAlignment="1" applyFont="1" applyNumberFormat="1">
      <alignment readingOrder="0" shrinkToFit="0" vertical="center" wrapText="0"/>
    </xf>
    <xf quotePrefix="1" borderId="0" fillId="0" fontId="3" numFmtId="0" xfId="0" applyAlignment="1" applyFont="1">
      <alignment horizontal="right" readingOrder="0" shrinkToFit="0" vertical="center" wrapText="0"/>
    </xf>
    <xf quotePrefix="1" borderId="0" fillId="0" fontId="1" numFmtId="0" xfId="0" applyAlignment="1" applyFont="1">
      <alignment horizontal="right" readingOrder="0" shrinkToFit="0" vertical="center" wrapText="0"/>
    </xf>
    <xf borderId="0" fillId="17" fontId="1" numFmtId="0" xfId="0" applyAlignment="1" applyFill="1" applyFont="1">
      <alignment horizontal="left" readingOrder="0" shrinkToFit="0" vertical="center" wrapText="1"/>
    </xf>
    <xf borderId="0" fillId="0" fontId="17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right"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Mael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un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oc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ciel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ers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9525</xdr:colOff>
      <xdr:row>1</xdr:row>
      <xdr:rowOff>-28575</xdr:rowOff>
    </xdr:from>
    <xdr:ext cx="5724525" cy="4295775"/>
    <xdr:sp>
      <xdr:nvSpPr>
        <xdr:cNvPr id="3" name="Shape 3"/>
        <xdr:cNvSpPr txBox="1"/>
      </xdr:nvSpPr>
      <xdr:spPr>
        <a:xfrm>
          <a:off x="731775" y="828200"/>
          <a:ext cx="5706300" cy="4279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Notes: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skills were used with perfect Quick Time Event inputs</a:t>
          </a:r>
          <a:br>
            <a:rPr lang="en-US" sz="1400"/>
          </a:br>
          <a:r>
            <a:rPr b="1" lang="en-US" sz="1400"/>
            <a:t>These perfect inputs are why datamined/mod numbers show slightly lower values; they don’t account for QTE bonuses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 hits are added together for the multiplier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Burn dot is not included in the final dmg of skills because the stance multiplier does not affect burns. Total Burn dmg of skills are found in the notes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Skill are not accounting for Stance Bonuses:</a:t>
          </a:r>
          <a:br>
            <a:rPr lang="en-US" sz="1400"/>
          </a:br>
          <a:r>
            <a:rPr lang="en-US" sz="1400"/>
            <a:t>1.5x in Offensive Stance</a:t>
          </a:r>
          <a:br>
            <a:rPr lang="en-US" sz="1400"/>
          </a:br>
          <a:r>
            <a:rPr lang="en-US" sz="1400"/>
            <a:t>3.0x in Virtuoso Stance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Key Takeaways: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Stance doesn’t affect burn damage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Stendhal still OP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Made by JohnnyDamajer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133350</xdr:colOff>
      <xdr:row>1</xdr:row>
      <xdr:rowOff>-38100</xdr:rowOff>
    </xdr:from>
    <xdr:ext cx="6429375" cy="3219450"/>
    <xdr:sp>
      <xdr:nvSpPr>
        <xdr:cNvPr id="4" name="Shape 4"/>
        <xdr:cNvSpPr txBox="1"/>
      </xdr:nvSpPr>
      <xdr:spPr>
        <a:xfrm>
          <a:off x="0" y="144650"/>
          <a:ext cx="6418200" cy="32016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Notes: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skills were used with perfect Quick Time Event </a:t>
          </a:r>
          <a:r>
            <a:rPr lang="en-US" sz="1400"/>
            <a:t>inputs 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These perfect inputs are why datamined/mod numbers show slightly lower values; they don’t account for QTE bonuses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 hits are added together for the multiplier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Key Takeaways: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Stain damage ugrades are massive: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1 Stain Skills: +50%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2 Stain Skills: +100% (Exception: Crystal Crush +200%)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3 Stain SKills: +400% (Exception: Hell +200%)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Made by JohnnyDamajer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38100</xdr:colOff>
      <xdr:row>0</xdr:row>
      <xdr:rowOff>304800</xdr:rowOff>
    </xdr:from>
    <xdr:ext cx="5724525" cy="3009900"/>
    <xdr:sp>
      <xdr:nvSpPr>
        <xdr:cNvPr id="3" name="Shape 3"/>
        <xdr:cNvSpPr txBox="1"/>
      </xdr:nvSpPr>
      <xdr:spPr>
        <a:xfrm>
          <a:off x="731775" y="828200"/>
          <a:ext cx="5706300" cy="29862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Notes: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skills were used with perfect Quick Time Event inputs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These perfect inputs are why datamined/mod numbers show slightly lower values; they don’t account for QTE bonuses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 hits are added together for the multiplier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Key Takeaways: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Mask damage ugrades are massive: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Typically +200%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Almighty</a:t>
          </a:r>
          <a:r>
            <a:rPr lang="en-US" sz="1400"/>
            <a:t> masks: +400% 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Made by JohnnyDamajer</a:t>
          </a: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9525</xdr:colOff>
      <xdr:row>0</xdr:row>
      <xdr:rowOff>352425</xdr:rowOff>
    </xdr:from>
    <xdr:ext cx="5724525" cy="4724400"/>
    <xdr:sp>
      <xdr:nvSpPr>
        <xdr:cNvPr id="3" name="Shape 3"/>
        <xdr:cNvSpPr txBox="1"/>
      </xdr:nvSpPr>
      <xdr:spPr>
        <a:xfrm>
          <a:off x="731775" y="828200"/>
          <a:ext cx="5706300" cy="47100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Notes: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skills were used with perfect Quick Time Event inputs</a:t>
          </a:r>
          <a:br>
            <a:rPr lang="en-US" sz="1400"/>
          </a:br>
          <a:r>
            <a:rPr b="1" lang="en-US" sz="1400"/>
            <a:t>These perfect inputs are why datamined/mod numbers show slightly lower values; they don’t account for QTE bonuses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 hits are added together for the multiplier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Twilight: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Enter Twilight after collecting 1 Sun and 1 Moon charge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Increases your damage by charges x 25%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Twilight lasts 2 turns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Skill Multipliers are not accounting for Twilight Bonus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>
              <a:solidFill>
                <a:srgbClr val="9900FF"/>
              </a:solidFill>
            </a:rPr>
            <a:t>TwilightMax</a:t>
          </a:r>
          <a:r>
            <a:rPr lang="en-US" sz="1400"/>
            <a:t>: Assumes a 50% Twilight, 20 Foretell stacks.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Foretell: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Capped at 10; 20 in Twilight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Twilight also doubles stacks applied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At 10 stacks +250-350% more damage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At </a:t>
          </a:r>
          <a:r>
            <a:rPr lang="en-US" sz="1400"/>
            <a:t>20 Stacks </a:t>
          </a:r>
          <a:r>
            <a:rPr lang="en-US" sz="1400"/>
            <a:t>+500-700% more damage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Made by JohnnyDamajer</a:t>
          </a: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17</xdr:col>
      <xdr:colOff>85725</xdr:colOff>
      <xdr:row>1</xdr:row>
      <xdr:rowOff>-9525</xdr:rowOff>
    </xdr:from>
    <xdr:ext cx="5724525" cy="6238875"/>
    <xdr:sp>
      <xdr:nvSpPr>
        <xdr:cNvPr id="3" name="Shape 3"/>
        <xdr:cNvSpPr txBox="1"/>
      </xdr:nvSpPr>
      <xdr:spPr>
        <a:xfrm>
          <a:off x="731775" y="828200"/>
          <a:ext cx="5706300" cy="621840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t" bIns="91425" lIns="91425" spcFirstLastPara="1" rIns="91425" wrap="square" tIns="91425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Notes: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skills were used with perfect Quick Time Event inputs</a:t>
          </a:r>
          <a:br>
            <a:rPr lang="en-US" sz="1400"/>
          </a:br>
          <a:r>
            <a:rPr b="1" lang="en-US" sz="1400"/>
            <a:t>These perfect inputs are why datamined/mod numbers show slightly lower values; they don’t account for QTE bonuses</a:t>
          </a:r>
          <a:endParaRPr b="1"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All skill hits are added together for the multiplier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Skill Multipliers here are not accounting for </a:t>
          </a:r>
          <a:r>
            <a:rPr b="1" lang="en-US" sz="1400"/>
            <a:t>General </a:t>
          </a:r>
          <a:r>
            <a:rPr lang="en-US" sz="1400"/>
            <a:t>Rank Bonus (except </a:t>
          </a:r>
          <a:r>
            <a:rPr lang="en-US" sz="1400">
              <a:solidFill>
                <a:srgbClr val="FF00FF"/>
              </a:solidFill>
            </a:rPr>
            <a:t>SRankMax</a:t>
          </a:r>
          <a:r>
            <a:rPr lang="en-US" sz="1400"/>
            <a:t>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Ranks: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b="1" lang="en-US" sz="1400"/>
            <a:t>General</a:t>
          </a:r>
          <a:r>
            <a:rPr lang="en-US" sz="1400"/>
            <a:t> bonus damage based on Rank:</a:t>
          </a:r>
          <a:br>
            <a:rPr lang="en-US" sz="1400"/>
          </a:br>
          <a:r>
            <a:rPr lang="en-US" sz="1400"/>
            <a:t>D: 0%	C: 25%	B: 50%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A: 100%	S: 200%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b="1" lang="en-US" sz="1400"/>
            <a:t>Skill specific</a:t>
          </a:r>
          <a:r>
            <a:rPr lang="en-US" sz="1400"/>
            <a:t> bonus damage for using them at a certain Rank ranges from +50-150%.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Lose 1 Rank on being hit (once per turn)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 u="sng"/>
            <a:t>Perfection:</a:t>
          </a:r>
          <a:endParaRPr sz="1400" u="sng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Each hit, dodge, parry = 1 Perfection</a:t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Perfection to Rank up: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→C= 2 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→B= 5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→A= 7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→S= 15</a:t>
          </a:r>
          <a:endParaRPr sz="1400"/>
        </a:p>
        <a:p>
          <a:pPr indent="0" lvl="0" marL="45720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-317500" lvl="0" marL="457200" rtl="0" algn="l">
            <a:spcBef>
              <a:spcPts val="0"/>
            </a:spcBef>
            <a:spcAft>
              <a:spcPts val="0"/>
            </a:spcAft>
            <a:buSzPts val="1400"/>
            <a:buChar char="-"/>
          </a:pPr>
          <a:r>
            <a:rPr lang="en-US" sz="1400"/>
            <a:t>Fastest Rank-up: Quick Strike → Light Holder = S Rank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Made by JohnnyDamajer</a:t>
          </a:r>
          <a:endParaRPr sz="14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26" displayName="Maelle" name="Maelle" id="1">
  <tableColumns count="16">
    <tableColumn name="Skill" id="1"/>
    <tableColumn name="Damage Multi" id="2"/>
    <tableColumn name="Condition" id="3"/>
    <tableColumn name="DmMax" id="4"/>
    <tableColumn name="Notes" id="5"/>
    <tableColumn name="Stance" id="6"/>
    <tableColumn name="AOE" id="7"/>
    <tableColumn name="Break Multi" id="8"/>
    <tableColumn name="Cost" id="9"/>
    <tableColumn name="BaseDmg/AP" id="10"/>
    <tableColumn name="MaxDmg/AP" id="11"/>
    <tableColumn name="Game Description" id="12"/>
    <tableColumn name="Base Attack" id="13"/>
    <tableColumn name="Test AP" id="14"/>
    <tableColumn name="Test 1" id="15"/>
    <tableColumn name="T2" id="16"/>
  </tableColumns>
  <tableStyleInfo name="Maelle-style" showColumnStripes="0" showFirstColumn="1" showLastColumn="1" showRowStripes="1"/>
</table>
</file>

<file path=xl/tables/table2.xml><?xml version="1.0" encoding="utf-8"?>
<table xmlns="http://schemas.openxmlformats.org/spreadsheetml/2006/main" ref="A1:R27" displayName="Lune" name="Lune" id="2">
  <tableColumns count="18">
    <tableColumn name="Skill" id="1"/>
    <tableColumn name="Damage Multi" id="2"/>
    <tableColumn name="Condition 1" id="3"/>
    <tableColumn name="Dmg Con1" id="4"/>
    <tableColumn name="Con Max Dmg" id="5"/>
    <tableColumn name="Dmg Max" id="6"/>
    <tableColumn name="Notes" id="7"/>
    <tableColumn name="AOE" id="8"/>
    <tableColumn name="BreakMulti" id="9"/>
    <tableColumn name="Cost" id="10"/>
    <tableColumn name="BaseDmg/AP" id="11"/>
    <tableColumn name="MaxDmg/AP" id="12"/>
    <tableColumn name="Game Description" id="13"/>
    <tableColumn name="Test Basic Attack Dmg" id="14"/>
    <tableColumn name="Test AP" id="15"/>
    <tableColumn name="Test 1" id="16"/>
    <tableColumn name="T2" id="17"/>
    <tableColumn name="T3" id="18"/>
  </tableColumns>
  <tableStyleInfo name="Lune-style" showColumnStripes="0" showFirstColumn="1" showLastColumn="1" showRowStripes="1"/>
</table>
</file>

<file path=xl/tables/table3.xml><?xml version="1.0" encoding="utf-8"?>
<table xmlns="http://schemas.openxmlformats.org/spreadsheetml/2006/main" ref="A1:S54" displayName="Monoco" name="Monoco" id="3">
  <tableColumns count="19">
    <tableColumn name="Skill" id="1"/>
    <tableColumn name="Mask" id="2"/>
    <tableColumn name="Damage Multi" id="3"/>
    <tableColumn name="Condition 1" id="4"/>
    <tableColumn name="Dmg Con1" id="5"/>
    <tableColumn name="Con Max Dmg" id="6"/>
    <tableColumn name="Dmg Max" id="7"/>
    <tableColumn name="Notes" id="8"/>
    <tableColumn name="AOE" id="9"/>
    <tableColumn name="Break Multi" id="10"/>
    <tableColumn name="Cost" id="11"/>
    <tableColumn name="BaseDmg/AP" id="12"/>
    <tableColumn name="MaxDmg/AP" id="13"/>
    <tableColumn name="Game Description" id="14"/>
    <tableColumn name="Test Basic Attack" id="15"/>
    <tableColumn name="Test AP" id="16"/>
    <tableColumn name="Test 1" id="17"/>
    <tableColumn name="T2" id="18"/>
    <tableColumn name="T3" id="19"/>
  </tableColumns>
  <tableStyleInfo name="Monoco-style" showColumnStripes="0" showFirstColumn="1" showLastColumn="1" showRowStripes="1"/>
</table>
</file>

<file path=xl/tables/table4.xml><?xml version="1.0" encoding="utf-8"?>
<table xmlns="http://schemas.openxmlformats.org/spreadsheetml/2006/main" ref="A1:T25" displayName="Sciel" name="Sciel" id="4">
  <tableColumns count="20">
    <tableColumn name="Skill" id="1"/>
    <tableColumn name="Damage Multi" id="2"/>
    <tableColumn name="Condition" id="3"/>
    <tableColumn name="ConDmg" id="4"/>
    <tableColumn name="ConTwilight" id="5"/>
    <tableColumn name="TwilightDmg" id="6"/>
    <tableColumn name="Notes" id="7"/>
    <tableColumn name="Foretell" id="8"/>
    <tableColumn name="Lunar" id="9"/>
    <tableColumn name="AOE" id="10"/>
    <tableColumn name="Break Multi" id="11"/>
    <tableColumn name="Cost" id="12"/>
    <tableColumn name="BaseDmg/AP" id="13"/>
    <tableColumn name="MaxDmg/AP" id="14"/>
    <tableColumn name="Game Description" id="15"/>
    <tableColumn name="Base Attack" id="16"/>
    <tableColumn name="Test AP" id="17"/>
    <tableColumn name="Test 1" id="18"/>
    <tableColumn name="T2" id="19"/>
    <tableColumn name="T3" id="20"/>
  </tableColumns>
  <tableStyleInfo name="Sciel-style" showColumnStripes="0" showFirstColumn="1" showLastColumn="1" showRowStripes="1"/>
</table>
</file>

<file path=xl/tables/table5.xml><?xml version="1.0" encoding="utf-8"?>
<table xmlns="http://schemas.openxmlformats.org/spreadsheetml/2006/main" ref="A1:Q27" displayName="Verso" name="Verso" id="5">
  <tableColumns count="17">
    <tableColumn name="Skill" id="1"/>
    <tableColumn name="Damage Multi" id="2"/>
    <tableColumn name="Condition" id="3"/>
    <tableColumn name="ConDmg" id="4"/>
    <tableColumn name="SRankMAX" id="5"/>
    <tableColumn name="Notes" id="6"/>
    <tableColumn name="Perfection Gain" id="7"/>
    <tableColumn name="Break Multi" id="8"/>
    <tableColumn name="AOE" id="9"/>
    <tableColumn name="Cost" id="10"/>
    <tableColumn name="BaseDmg/AP" id="11"/>
    <tableColumn name="MaxDmg/AP" id="12"/>
    <tableColumn name="Game Description" id="13"/>
    <tableColumn name="Base Attack" id="14"/>
    <tableColumn name="Test AP" id="15"/>
    <tableColumn name="Test 1" id="16"/>
    <tableColumn name="T2" id="17"/>
  </tableColumns>
  <tableStyleInfo name="Vers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Ko9NNCAyC_E&amp;list=PLQKom2rqIi0Kuj9g4TeQjiDsOBMul5hs6" TargetMode="External"/><Relationship Id="rId2" Type="http://schemas.openxmlformats.org/officeDocument/2006/relationships/hyperlink" Target="https://www.youtube.com/watch?v=n_hXOxx8S0I&amp;list=PLQKom2rqIi0Kuj9g4TeQjiDsOBMul5hs6" TargetMode="External"/><Relationship Id="rId3" Type="http://schemas.openxmlformats.org/officeDocument/2006/relationships/hyperlink" Target="https://www.youtube.com/watch?v=20nSUaqMgS4&amp;list=PLQKom2rqIi0Kuj9g4TeQjiDsOBMul5hs6" TargetMode="External"/><Relationship Id="rId4" Type="http://schemas.openxmlformats.org/officeDocument/2006/relationships/hyperlink" Target="https://www.youtube.com/playlist?list=PLQKom2rqIi0Kuj9g4TeQjiDsOBMul5hs6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-khjKr-5H2U&amp;list=PLQKom2rqIi0Kuj9g4TeQjiDsOBMul5hs6" TargetMode="External"/><Relationship Id="rId2" Type="http://schemas.openxmlformats.org/officeDocument/2006/relationships/hyperlink" Target="https://www.youtube.com/watch?v=MFvQgPNPfaE&amp;list=PLQKom2rqIi0Kuj9g4TeQjiDsOBMul5hs6" TargetMode="External"/><Relationship Id="rId3" Type="http://schemas.openxmlformats.org/officeDocument/2006/relationships/hyperlink" Target="https://www.youtube.com/watch?v=20nSUaqMgS4&amp;list=PLQKom2rqIi0Kuj9g4TeQjiDsOBMul5hs6" TargetMode="External"/><Relationship Id="rId4" Type="http://schemas.openxmlformats.org/officeDocument/2006/relationships/hyperlink" Target="https://www.youtube.com/playlist?list=PLQKom2rqIi0Kuj9g4TeQjiDsOBMul5hs6" TargetMode="External"/><Relationship Id="rId5" Type="http://schemas.openxmlformats.org/officeDocument/2006/relationships/drawing" Target="../drawings/drawing2.xml"/><Relationship Id="rId7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ud9Dudg8zbU&amp;list=PLQKom2rqIi0Kuj9g4TeQjiDsOBMul5hs6" TargetMode="External"/><Relationship Id="rId2" Type="http://schemas.openxmlformats.org/officeDocument/2006/relationships/hyperlink" Target="https://www.youtube.com/watch?v=uRt3eSWSDn0&amp;list=PLQKom2rqIi0Kuj9g4TeQjiDsOBMul5hs6" TargetMode="External"/><Relationship Id="rId3" Type="http://schemas.openxmlformats.org/officeDocument/2006/relationships/hyperlink" Target="https://www.youtube.com/watch?v=20nSUaqMgS4&amp;list=PLQKom2rqIi0Kuj9g4TeQjiDsOBMul5hs6" TargetMode="External"/><Relationship Id="rId4" Type="http://schemas.openxmlformats.org/officeDocument/2006/relationships/hyperlink" Target="https://www.youtube.com/playlist?list=PLQKom2rqIi0Kuj9g4TeQjiDsOBMul5hs6" TargetMode="External"/><Relationship Id="rId5" Type="http://schemas.openxmlformats.org/officeDocument/2006/relationships/drawing" Target="../drawings/drawing3.xml"/><Relationship Id="rId7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Vc76GAkw5vc&amp;list=PLQKom2rqIi0Kuj9g4TeQjiDsOBMul5hs6" TargetMode="External"/><Relationship Id="rId2" Type="http://schemas.openxmlformats.org/officeDocument/2006/relationships/hyperlink" Target="https://www.youtube.com/watch?v=4E_c4d1XHdA&amp;list=PLQKom2rqIi0Kuj9g4TeQjiDsOBMul5hs6" TargetMode="External"/><Relationship Id="rId3" Type="http://schemas.openxmlformats.org/officeDocument/2006/relationships/hyperlink" Target="https://www.youtube.com/watch?v=20nSUaqMgS4&amp;list=PLQKom2rqIi0Kuj9g4TeQjiDsOBMul5hs6" TargetMode="External"/><Relationship Id="rId4" Type="http://schemas.openxmlformats.org/officeDocument/2006/relationships/hyperlink" Target="https://www.youtube.com/playlist?list=PLQKom2rqIi0Kuj9g4TeQjiDsOBMul5hs6" TargetMode="External"/><Relationship Id="rId5" Type="http://schemas.openxmlformats.org/officeDocument/2006/relationships/drawing" Target="../drawings/drawing4.xml"/><Relationship Id="rId7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ETJA-k60lpQ&amp;list=PLQKom2rqIi0Kuj9g4TeQjiDsOBMul5hs6" TargetMode="External"/><Relationship Id="rId2" Type="http://schemas.openxmlformats.org/officeDocument/2006/relationships/hyperlink" Target="https://www.youtube.com/watch?v=HNcGA-mS6V0&amp;list=PLQKom2rqIi0Kuj9g4TeQjiDsOBMul5hs6&amp;index=5&amp;pp=gAQBiAQB" TargetMode="External"/><Relationship Id="rId3" Type="http://schemas.openxmlformats.org/officeDocument/2006/relationships/hyperlink" Target="https://www.youtube.com/watch?v=20nSUaqMgS4&amp;list=PLQKom2rqIi0Kuj9g4TeQjiDsOBMul5hs6" TargetMode="External"/><Relationship Id="rId4" Type="http://schemas.openxmlformats.org/officeDocument/2006/relationships/hyperlink" Target="https://www.youtube.com/playlist?list=PLQKom2rqIi0Kuj9g4TeQjiDsOBMul5hs6" TargetMode="External"/><Relationship Id="rId5" Type="http://schemas.openxmlformats.org/officeDocument/2006/relationships/drawing" Target="../drawings/drawing5.xml"/><Relationship Id="rId7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.88"/>
    <col customWidth="1" min="3" max="3" width="15.0"/>
    <col customWidth="1" min="4" max="4" width="13.88"/>
    <col customWidth="1" min="5" max="5" width="70.5"/>
    <col customWidth="1" min="6" max="6" width="13.13"/>
    <col customWidth="1" min="7" max="7" width="11.75"/>
    <col customWidth="1" min="8" max="8" width="10.25"/>
    <col customWidth="1" min="9" max="9" width="15.63"/>
    <col customWidth="1" min="10" max="10" width="13.13"/>
    <col customWidth="1" min="11" max="11" width="13.5"/>
    <col customWidth="1" min="12" max="12" width="13.88"/>
    <col customWidth="1" hidden="1" min="13" max="13" width="14.0"/>
    <col customWidth="1" hidden="1" min="14" max="14" width="14.13"/>
    <col customWidth="1" hidden="1" min="15" max="15" width="12.88"/>
    <col customWidth="1" hidden="1" min="16" max="16" width="13.88"/>
    <col customWidth="1" min="17" max="17" width="14.13"/>
  </cols>
  <sheetData>
    <row r="1" ht="29.25" customHeight="1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8" t="s">
        <v>10</v>
      </c>
      <c r="L1" s="2" t="s">
        <v>11</v>
      </c>
      <c r="M1" s="9" t="s">
        <v>12</v>
      </c>
      <c r="N1" s="10" t="s">
        <v>13</v>
      </c>
      <c r="O1" s="11" t="s">
        <v>14</v>
      </c>
      <c r="P1" s="12" t="s">
        <v>15</v>
      </c>
    </row>
    <row r="2" ht="22.5" customHeight="1">
      <c r="A2" s="13" t="s">
        <v>16</v>
      </c>
      <c r="B2" s="14">
        <f t="shared" ref="B2:B25" si="1">O2/M2</f>
        <v>60</v>
      </c>
      <c r="C2" s="13"/>
      <c r="D2" s="14">
        <f>P2/M2</f>
        <v>60</v>
      </c>
      <c r="E2" s="13" t="s">
        <v>17</v>
      </c>
      <c r="F2" s="15" t="s">
        <v>18</v>
      </c>
      <c r="G2" s="16" t="b">
        <v>0</v>
      </c>
      <c r="H2" s="13">
        <v>1.0</v>
      </c>
      <c r="I2" s="13" t="s">
        <v>19</v>
      </c>
      <c r="J2" s="17"/>
      <c r="K2" s="17"/>
      <c r="L2" s="13" t="s">
        <v>20</v>
      </c>
      <c r="M2" s="13">
        <v>1261.0</v>
      </c>
      <c r="N2" s="13">
        <v>1261.0</v>
      </c>
      <c r="O2" s="18">
        <v>75660.0</v>
      </c>
      <c r="P2" s="18">
        <v>75660.0</v>
      </c>
    </row>
    <row r="3" ht="22.5" customHeight="1">
      <c r="A3" s="13" t="s">
        <v>21</v>
      </c>
      <c r="B3" s="14">
        <f t="shared" si="1"/>
        <v>2.799365583</v>
      </c>
      <c r="C3" s="13" t="s">
        <v>22</v>
      </c>
      <c r="D3" s="19">
        <f>2.8*11</f>
        <v>30.8</v>
      </c>
      <c r="E3" s="13" t="s">
        <v>23</v>
      </c>
      <c r="F3" s="20" t="s">
        <v>24</v>
      </c>
      <c r="G3" s="16" t="b">
        <v>0</v>
      </c>
      <c r="H3" s="13">
        <v>0.3</v>
      </c>
      <c r="I3" s="13">
        <v>5.0</v>
      </c>
      <c r="J3" s="17">
        <f t="shared" ref="J3:J16" si="2">B3/I3</f>
        <v>0.5598731166</v>
      </c>
      <c r="K3" s="17">
        <f t="shared" ref="K3:K16" si="3">D3/I3</f>
        <v>6.16</v>
      </c>
      <c r="L3" s="13" t="s">
        <v>25</v>
      </c>
      <c r="M3" s="13">
        <v>1261.0</v>
      </c>
      <c r="N3" s="13">
        <v>1261.0</v>
      </c>
      <c r="O3" s="18">
        <f>706*5</f>
        <v>3530</v>
      </c>
      <c r="P3" s="18">
        <v>3934.0</v>
      </c>
    </row>
    <row r="4" ht="22.5" customHeight="1">
      <c r="A4" s="13" t="s">
        <v>26</v>
      </c>
      <c r="B4" s="14">
        <f t="shared" si="1"/>
        <v>21</v>
      </c>
      <c r="C4" s="13"/>
      <c r="D4" s="21">
        <f t="shared" ref="D4:D26" si="4">P4/M4</f>
        <v>21</v>
      </c>
      <c r="E4" s="13" t="s">
        <v>27</v>
      </c>
      <c r="F4" s="22" t="s">
        <v>28</v>
      </c>
      <c r="G4" s="16" t="b">
        <v>0</v>
      </c>
      <c r="H4" s="13">
        <v>1.0</v>
      </c>
      <c r="I4" s="13">
        <v>8.0</v>
      </c>
      <c r="J4" s="17">
        <f t="shared" si="2"/>
        <v>2.625</v>
      </c>
      <c r="K4" s="17">
        <f t="shared" si="3"/>
        <v>2.625</v>
      </c>
      <c r="L4" s="13" t="s">
        <v>20</v>
      </c>
      <c r="M4" s="13">
        <v>1261.0</v>
      </c>
      <c r="N4" s="13">
        <v>1261.0</v>
      </c>
      <c r="O4" s="18">
        <v>26481.0</v>
      </c>
      <c r="P4" s="18">
        <v>26481.0</v>
      </c>
    </row>
    <row r="5" ht="22.5" customHeight="1">
      <c r="A5" s="13" t="s">
        <v>29</v>
      </c>
      <c r="B5" s="14">
        <f t="shared" si="1"/>
        <v>7.201427439</v>
      </c>
      <c r="C5" s="13" t="s">
        <v>30</v>
      </c>
      <c r="D5" s="14">
        <f t="shared" si="4"/>
        <v>10.80214116</v>
      </c>
      <c r="E5" s="13" t="s">
        <v>31</v>
      </c>
      <c r="F5" s="15" t="s">
        <v>18</v>
      </c>
      <c r="G5" s="16" t="b">
        <v>0</v>
      </c>
      <c r="H5" s="13">
        <v>0.1</v>
      </c>
      <c r="I5" s="13">
        <v>8.0</v>
      </c>
      <c r="J5" s="17">
        <f t="shared" si="2"/>
        <v>0.9001784298</v>
      </c>
      <c r="K5" s="17">
        <f t="shared" si="3"/>
        <v>1.350267645</v>
      </c>
      <c r="L5" s="13" t="s">
        <v>25</v>
      </c>
      <c r="M5" s="13">
        <v>1261.0</v>
      </c>
      <c r="N5" s="13">
        <v>1261.0</v>
      </c>
      <c r="O5" s="18">
        <v>9081.0</v>
      </c>
      <c r="P5" s="18">
        <f>9081*1.5</f>
        <v>13621.5</v>
      </c>
    </row>
    <row r="6" ht="22.5" customHeight="1">
      <c r="A6" s="13" t="s">
        <v>32</v>
      </c>
      <c r="B6" s="14">
        <f t="shared" si="1"/>
        <v>5.281522601</v>
      </c>
      <c r="C6" s="13" t="s">
        <v>33</v>
      </c>
      <c r="D6" s="14">
        <f t="shared" si="4"/>
        <v>10.5630452</v>
      </c>
      <c r="E6" s="13" t="s">
        <v>34</v>
      </c>
      <c r="F6" s="23" t="s">
        <v>35</v>
      </c>
      <c r="G6" s="24"/>
      <c r="H6" s="13">
        <v>0.3</v>
      </c>
      <c r="I6" s="13">
        <v>9.0</v>
      </c>
      <c r="J6" s="17">
        <f t="shared" si="2"/>
        <v>0.5868358446</v>
      </c>
      <c r="K6" s="17">
        <f t="shared" si="3"/>
        <v>1.173671689</v>
      </c>
      <c r="L6" s="13" t="s">
        <v>20</v>
      </c>
      <c r="M6" s="13">
        <v>1261.0</v>
      </c>
      <c r="N6" s="13">
        <v>1261.0</v>
      </c>
      <c r="O6" s="18">
        <v>6660.0</v>
      </c>
      <c r="P6" s="18">
        <v>13320.0</v>
      </c>
    </row>
    <row r="7" ht="22.5" customHeight="1">
      <c r="A7" s="13" t="s">
        <v>36</v>
      </c>
      <c r="B7" s="14">
        <f t="shared" si="1"/>
        <v>1.919904837</v>
      </c>
      <c r="C7" s="13" t="s">
        <v>37</v>
      </c>
      <c r="D7" s="14">
        <f t="shared" si="4"/>
        <v>9.599524187</v>
      </c>
      <c r="E7" s="13" t="s">
        <v>38</v>
      </c>
      <c r="F7" s="20" t="s">
        <v>24</v>
      </c>
      <c r="G7" s="16" t="b">
        <v>0</v>
      </c>
      <c r="H7" s="13">
        <v>0.7</v>
      </c>
      <c r="I7" s="13">
        <v>4.0</v>
      </c>
      <c r="J7" s="17">
        <f t="shared" si="2"/>
        <v>0.4799762094</v>
      </c>
      <c r="K7" s="17">
        <f t="shared" si="3"/>
        <v>2.399881047</v>
      </c>
      <c r="L7" s="13" t="s">
        <v>39</v>
      </c>
      <c r="M7" s="13">
        <v>1261.0</v>
      </c>
      <c r="N7" s="13">
        <v>1261.0</v>
      </c>
      <c r="O7" s="18">
        <v>2421.0</v>
      </c>
      <c r="P7" s="18">
        <f>2421*5</f>
        <v>12105</v>
      </c>
    </row>
    <row r="8" ht="22.5" customHeight="1">
      <c r="A8" s="13" t="s">
        <v>40</v>
      </c>
      <c r="B8" s="14">
        <f t="shared" si="1"/>
        <v>4.199841396</v>
      </c>
      <c r="C8" s="13" t="s">
        <v>30</v>
      </c>
      <c r="D8" s="14">
        <f t="shared" si="4"/>
        <v>8.399682791</v>
      </c>
      <c r="E8" s="13" t="s">
        <v>41</v>
      </c>
      <c r="F8" s="23" t="s">
        <v>35</v>
      </c>
      <c r="G8" s="24"/>
      <c r="H8" s="13">
        <v>1.0</v>
      </c>
      <c r="I8" s="13">
        <v>7.0</v>
      </c>
      <c r="J8" s="17">
        <f t="shared" si="2"/>
        <v>0.5999773422</v>
      </c>
      <c r="K8" s="17">
        <f t="shared" si="3"/>
        <v>1.199954684</v>
      </c>
      <c r="L8" s="13" t="s">
        <v>25</v>
      </c>
      <c r="M8" s="13">
        <v>1261.0</v>
      </c>
      <c r="N8" s="13">
        <v>1261.0</v>
      </c>
      <c r="O8" s="18">
        <v>5296.0</v>
      </c>
      <c r="P8" s="18">
        <v>10592.0</v>
      </c>
    </row>
    <row r="9" ht="22.5" customHeight="1">
      <c r="A9" s="13" t="s">
        <v>42</v>
      </c>
      <c r="B9" s="14">
        <f t="shared" si="1"/>
        <v>8</v>
      </c>
      <c r="C9" s="13"/>
      <c r="D9" s="14">
        <f t="shared" si="4"/>
        <v>8</v>
      </c>
      <c r="E9" s="13" t="s">
        <v>43</v>
      </c>
      <c r="F9" s="23" t="s">
        <v>35</v>
      </c>
      <c r="G9" s="16" t="b">
        <v>0</v>
      </c>
      <c r="H9" s="13">
        <v>1.0</v>
      </c>
      <c r="I9" s="13">
        <v>9.0</v>
      </c>
      <c r="J9" s="17">
        <f t="shared" si="2"/>
        <v>0.8888888889</v>
      </c>
      <c r="K9" s="17">
        <f t="shared" si="3"/>
        <v>0.8888888889</v>
      </c>
      <c r="L9" s="13" t="s">
        <v>44</v>
      </c>
      <c r="M9" s="13">
        <v>1261.0</v>
      </c>
      <c r="N9" s="13">
        <v>1261.0</v>
      </c>
      <c r="O9" s="18">
        <v>10088.0</v>
      </c>
      <c r="P9" s="18">
        <v>10088.0</v>
      </c>
    </row>
    <row r="10" ht="22.5" customHeight="1">
      <c r="A10" s="13" t="s">
        <v>45</v>
      </c>
      <c r="B10" s="14">
        <f t="shared" si="1"/>
        <v>5.666931007</v>
      </c>
      <c r="C10" s="13"/>
      <c r="D10" s="14">
        <f t="shared" si="4"/>
        <v>5.666931007</v>
      </c>
      <c r="E10" s="13" t="s">
        <v>46</v>
      </c>
      <c r="F10" s="23" t="s">
        <v>35</v>
      </c>
      <c r="G10" s="16" t="b">
        <v>0</v>
      </c>
      <c r="H10" s="13">
        <v>0.5</v>
      </c>
      <c r="I10" s="13">
        <v>9.0</v>
      </c>
      <c r="J10" s="17">
        <f t="shared" si="2"/>
        <v>0.6296590008</v>
      </c>
      <c r="K10" s="17">
        <f t="shared" si="3"/>
        <v>0.6296590008</v>
      </c>
      <c r="L10" s="13" t="s">
        <v>20</v>
      </c>
      <c r="M10" s="13">
        <v>1261.0</v>
      </c>
      <c r="N10" s="13">
        <v>1261.0</v>
      </c>
      <c r="O10" s="18">
        <v>7146.0</v>
      </c>
      <c r="P10" s="18">
        <v>7146.0</v>
      </c>
    </row>
    <row r="11" ht="22.5" customHeight="1">
      <c r="A11" s="13" t="s">
        <v>47</v>
      </c>
      <c r="B11" s="14">
        <f t="shared" si="1"/>
        <v>2.639968279</v>
      </c>
      <c r="C11" s="13" t="s">
        <v>30</v>
      </c>
      <c r="D11" s="14">
        <f t="shared" si="4"/>
        <v>5.279936558</v>
      </c>
      <c r="E11" s="13" t="s">
        <v>48</v>
      </c>
      <c r="F11" s="23" t="s">
        <v>35</v>
      </c>
      <c r="G11" s="16" t="b">
        <v>0</v>
      </c>
      <c r="H11" s="13">
        <v>1.0</v>
      </c>
      <c r="I11" s="13">
        <v>5.0</v>
      </c>
      <c r="J11" s="17">
        <f t="shared" si="2"/>
        <v>0.5279936558</v>
      </c>
      <c r="K11" s="17">
        <f t="shared" si="3"/>
        <v>1.055987312</v>
      </c>
      <c r="L11" s="20" t="s">
        <v>39</v>
      </c>
      <c r="M11" s="13">
        <v>1261.0</v>
      </c>
      <c r="N11" s="13">
        <v>1261.0</v>
      </c>
      <c r="O11" s="18">
        <v>3329.0</v>
      </c>
      <c r="P11" s="18">
        <f>3329*2</f>
        <v>6658</v>
      </c>
    </row>
    <row r="12" ht="22.5" customHeight="1">
      <c r="A12" s="13" t="s">
        <v>49</v>
      </c>
      <c r="B12" s="14">
        <f t="shared" si="1"/>
        <v>4.704203013</v>
      </c>
      <c r="C12" s="13"/>
      <c r="D12" s="14">
        <f t="shared" si="4"/>
        <v>4.704203013</v>
      </c>
      <c r="E12" s="13" t="s">
        <v>50</v>
      </c>
      <c r="F12" s="23" t="s">
        <v>35</v>
      </c>
      <c r="G12" s="16" t="b">
        <v>1</v>
      </c>
      <c r="H12" s="13">
        <v>0.4</v>
      </c>
      <c r="I12" s="13">
        <v>7.0</v>
      </c>
      <c r="J12" s="17">
        <f t="shared" si="2"/>
        <v>0.6720290019</v>
      </c>
      <c r="K12" s="17">
        <f t="shared" si="3"/>
        <v>0.6720290019</v>
      </c>
      <c r="L12" s="13" t="s">
        <v>44</v>
      </c>
      <c r="M12" s="13">
        <v>1261.0</v>
      </c>
      <c r="N12" s="13">
        <v>1261.0</v>
      </c>
      <c r="O12" s="18">
        <v>5932.0</v>
      </c>
      <c r="P12" s="18">
        <v>5932.0</v>
      </c>
    </row>
    <row r="13" ht="21.0" customHeight="1">
      <c r="A13" s="13" t="s">
        <v>51</v>
      </c>
      <c r="B13" s="14">
        <f t="shared" si="1"/>
        <v>1.440126883</v>
      </c>
      <c r="C13" s="13" t="s">
        <v>52</v>
      </c>
      <c r="D13" s="14">
        <f t="shared" si="4"/>
        <v>3.600317209</v>
      </c>
      <c r="E13" s="13" t="s">
        <v>53</v>
      </c>
      <c r="F13" s="23" t="s">
        <v>35</v>
      </c>
      <c r="G13" s="24"/>
      <c r="H13" s="13">
        <v>1.0</v>
      </c>
      <c r="I13" s="13">
        <v>5.0</v>
      </c>
      <c r="J13" s="17">
        <f t="shared" si="2"/>
        <v>0.2880253767</v>
      </c>
      <c r="K13" s="17">
        <f t="shared" si="3"/>
        <v>0.7200634417</v>
      </c>
      <c r="L13" s="25" t="s">
        <v>25</v>
      </c>
      <c r="M13" s="13">
        <v>1261.0</v>
      </c>
      <c r="N13" s="13">
        <v>1261.0</v>
      </c>
      <c r="O13" s="18">
        <v>1816.0</v>
      </c>
      <c r="P13" s="18">
        <f>1816*2.5</f>
        <v>4540</v>
      </c>
    </row>
    <row r="14" ht="21.0" customHeight="1">
      <c r="A14" s="13" t="s">
        <v>54</v>
      </c>
      <c r="B14" s="14">
        <f t="shared" si="1"/>
        <v>3.250594766</v>
      </c>
      <c r="C14" s="13"/>
      <c r="D14" s="14">
        <f t="shared" si="4"/>
        <v>3.250594766</v>
      </c>
      <c r="E14" s="13" t="s">
        <v>55</v>
      </c>
      <c r="F14" s="20" t="s">
        <v>24</v>
      </c>
      <c r="G14" s="24"/>
      <c r="H14" s="13">
        <v>0.7</v>
      </c>
      <c r="I14" s="13">
        <v>5.0</v>
      </c>
      <c r="J14" s="17">
        <f t="shared" si="2"/>
        <v>0.6501189532</v>
      </c>
      <c r="K14" s="17">
        <f t="shared" si="3"/>
        <v>0.6501189532</v>
      </c>
      <c r="L14" s="13" t="s">
        <v>39</v>
      </c>
      <c r="M14" s="13">
        <v>1261.0</v>
      </c>
      <c r="N14" s="13">
        <v>1261.0</v>
      </c>
      <c r="O14" s="18">
        <v>4099.0</v>
      </c>
      <c r="P14" s="18">
        <v>4099.0</v>
      </c>
    </row>
    <row r="15" ht="21.0" customHeight="1">
      <c r="A15" s="13" t="s">
        <v>56</v>
      </c>
      <c r="B15" s="14">
        <f t="shared" si="1"/>
        <v>2.881046788</v>
      </c>
      <c r="C15" s="13"/>
      <c r="D15" s="14">
        <f t="shared" si="4"/>
        <v>2.881046788</v>
      </c>
      <c r="E15" s="13" t="s">
        <v>57</v>
      </c>
      <c r="F15" s="15" t="s">
        <v>58</v>
      </c>
      <c r="G15" s="16" t="b">
        <v>0</v>
      </c>
      <c r="H15" s="13">
        <v>0.5</v>
      </c>
      <c r="I15" s="13">
        <v>6.0</v>
      </c>
      <c r="J15" s="17">
        <f t="shared" si="2"/>
        <v>0.4801744647</v>
      </c>
      <c r="K15" s="17">
        <f t="shared" si="3"/>
        <v>0.4801744647</v>
      </c>
      <c r="L15" s="25" t="s">
        <v>25</v>
      </c>
      <c r="M15" s="13">
        <v>1261.0</v>
      </c>
      <c r="N15" s="13">
        <v>1261.0</v>
      </c>
      <c r="O15" s="18">
        <v>3633.0</v>
      </c>
      <c r="P15" s="18">
        <v>3633.0</v>
      </c>
    </row>
    <row r="16" ht="21.0" customHeight="1">
      <c r="A16" s="13" t="s">
        <v>59</v>
      </c>
      <c r="B16" s="14">
        <f t="shared" si="1"/>
        <v>0.66851705</v>
      </c>
      <c r="C16" s="13" t="s">
        <v>60</v>
      </c>
      <c r="D16" s="14">
        <f t="shared" si="4"/>
        <v>2.00555115</v>
      </c>
      <c r="E16" s="13"/>
      <c r="F16" s="20"/>
      <c r="G16" s="24"/>
      <c r="H16" s="13"/>
      <c r="I16" s="13">
        <v>5.0</v>
      </c>
      <c r="J16" s="17">
        <f t="shared" si="2"/>
        <v>0.13370341</v>
      </c>
      <c r="K16" s="17">
        <f t="shared" si="3"/>
        <v>0.40111023</v>
      </c>
      <c r="L16" s="13"/>
      <c r="M16" s="13">
        <v>1261.0</v>
      </c>
      <c r="N16" s="13">
        <v>1261.0</v>
      </c>
      <c r="O16" s="18">
        <v>843.0</v>
      </c>
      <c r="P16" s="18">
        <f>O16*3</f>
        <v>2529</v>
      </c>
    </row>
    <row r="17" ht="21.0" customHeight="1">
      <c r="A17" s="13" t="s">
        <v>61</v>
      </c>
      <c r="B17" s="14">
        <f t="shared" si="1"/>
        <v>1.800158604</v>
      </c>
      <c r="C17" s="13"/>
      <c r="D17" s="14">
        <f t="shared" si="4"/>
        <v>1.800158604</v>
      </c>
      <c r="E17" s="13"/>
      <c r="F17" s="15" t="s">
        <v>18</v>
      </c>
      <c r="G17" s="16" t="b">
        <v>0</v>
      </c>
      <c r="H17" s="13">
        <v>0.3</v>
      </c>
      <c r="I17" s="13" t="s">
        <v>62</v>
      </c>
      <c r="J17" s="26"/>
      <c r="K17" s="26"/>
      <c r="L17" s="25" t="s">
        <v>25</v>
      </c>
      <c r="M17" s="13">
        <v>1261.0</v>
      </c>
      <c r="N17" s="13">
        <v>1261.0</v>
      </c>
      <c r="O17" s="18">
        <f t="shared" ref="O17:P17" si="5">3405/1.5</f>
        <v>2270</v>
      </c>
      <c r="P17" s="18">
        <f t="shared" si="5"/>
        <v>2270</v>
      </c>
    </row>
    <row r="18" ht="24.0" customHeight="1">
      <c r="A18" s="13" t="s">
        <v>63</v>
      </c>
      <c r="B18" s="14">
        <f t="shared" si="1"/>
        <v>1.67961935</v>
      </c>
      <c r="C18" s="13"/>
      <c r="D18" s="14">
        <f t="shared" si="4"/>
        <v>1.67961935</v>
      </c>
      <c r="E18" s="13" t="s">
        <v>64</v>
      </c>
      <c r="F18" s="20" t="s">
        <v>24</v>
      </c>
      <c r="G18" s="16" t="b">
        <v>1</v>
      </c>
      <c r="H18" s="13">
        <v>1.0</v>
      </c>
      <c r="I18" s="13">
        <v>4.0</v>
      </c>
      <c r="J18" s="17">
        <f t="shared" ref="J18:J23" si="6">B18/I18</f>
        <v>0.4199048374</v>
      </c>
      <c r="K18" s="17">
        <f t="shared" ref="K18:K23" si="7">D18/I18</f>
        <v>0.4199048374</v>
      </c>
      <c r="L18" s="13" t="s">
        <v>39</v>
      </c>
      <c r="M18" s="13">
        <v>1261.0</v>
      </c>
      <c r="N18" s="13">
        <v>1261.0</v>
      </c>
      <c r="O18" s="18">
        <v>2118.0</v>
      </c>
      <c r="P18" s="18">
        <v>2118.0</v>
      </c>
      <c r="R18" s="27" t="s">
        <v>65</v>
      </c>
    </row>
    <row r="19" ht="24.0" customHeight="1">
      <c r="A19" s="13" t="s">
        <v>66</v>
      </c>
      <c r="B19" s="14">
        <f t="shared" si="1"/>
        <v>1.650277557</v>
      </c>
      <c r="C19" s="13"/>
      <c r="D19" s="14">
        <f t="shared" si="4"/>
        <v>1.650277557</v>
      </c>
      <c r="E19" s="13" t="s">
        <v>67</v>
      </c>
      <c r="F19" s="20" t="s">
        <v>24</v>
      </c>
      <c r="G19" s="24"/>
      <c r="H19" s="13">
        <v>1.0</v>
      </c>
      <c r="I19" s="13">
        <v>3.0</v>
      </c>
      <c r="J19" s="17">
        <f t="shared" si="6"/>
        <v>0.5500925192</v>
      </c>
      <c r="K19" s="17">
        <f t="shared" si="7"/>
        <v>0.5500925192</v>
      </c>
      <c r="L19" s="13" t="s">
        <v>68</v>
      </c>
      <c r="M19" s="13">
        <v>1261.0</v>
      </c>
      <c r="N19" s="13">
        <v>1261.0</v>
      </c>
      <c r="O19" s="18">
        <v>2081.0</v>
      </c>
      <c r="P19" s="18">
        <v>2081.0</v>
      </c>
    </row>
    <row r="20" ht="24.0" customHeight="1">
      <c r="A20" s="13" t="s">
        <v>69</v>
      </c>
      <c r="B20" s="14">
        <f t="shared" si="1"/>
        <v>1.399682791</v>
      </c>
      <c r="C20" s="13" t="s">
        <v>70</v>
      </c>
      <c r="D20" s="14">
        <f t="shared" si="4"/>
        <v>1.399682791</v>
      </c>
      <c r="E20" s="13" t="s">
        <v>71</v>
      </c>
      <c r="F20" s="23" t="s">
        <v>35</v>
      </c>
      <c r="G20" s="24"/>
      <c r="H20" s="13">
        <v>1.0</v>
      </c>
      <c r="I20" s="13">
        <v>3.0</v>
      </c>
      <c r="J20" s="17">
        <f t="shared" si="6"/>
        <v>0.4665609305</v>
      </c>
      <c r="K20" s="17">
        <f t="shared" si="7"/>
        <v>0.4665609305</v>
      </c>
      <c r="L20" s="13" t="s">
        <v>68</v>
      </c>
      <c r="M20" s="13">
        <v>1261.0</v>
      </c>
      <c r="N20" s="13">
        <v>1261.0</v>
      </c>
      <c r="O20" s="18">
        <v>1765.0</v>
      </c>
      <c r="P20" s="18">
        <v>1765.0</v>
      </c>
      <c r="R20" s="28" t="s">
        <v>72</v>
      </c>
    </row>
    <row r="21" ht="24.0" customHeight="1">
      <c r="A21" s="13" t="s">
        <v>73</v>
      </c>
      <c r="B21" s="14">
        <f t="shared" si="1"/>
        <v>1.200105736</v>
      </c>
      <c r="C21" s="13"/>
      <c r="D21" s="14">
        <f t="shared" si="4"/>
        <v>1.200105736</v>
      </c>
      <c r="E21" s="13" t="s">
        <v>74</v>
      </c>
      <c r="F21" s="20" t="s">
        <v>24</v>
      </c>
      <c r="G21" s="24"/>
      <c r="H21" s="13">
        <v>1.0</v>
      </c>
      <c r="I21" s="13">
        <v>1.0</v>
      </c>
      <c r="J21" s="17">
        <f t="shared" si="6"/>
        <v>1.200105736</v>
      </c>
      <c r="K21" s="17">
        <f t="shared" si="7"/>
        <v>1.200105736</v>
      </c>
      <c r="L21" s="13" t="s">
        <v>68</v>
      </c>
      <c r="M21" s="13">
        <v>1261.0</v>
      </c>
      <c r="N21" s="13">
        <v>1261.0</v>
      </c>
      <c r="O21" s="18">
        <f t="shared" ref="O21:P21" si="8">4540/3</f>
        <v>1513.333333</v>
      </c>
      <c r="P21" s="18">
        <f t="shared" si="8"/>
        <v>1513.333333</v>
      </c>
    </row>
    <row r="22" ht="24.0" customHeight="1">
      <c r="A22" s="13" t="s">
        <v>75</v>
      </c>
      <c r="B22" s="14">
        <f t="shared" si="1"/>
        <v>1.199841396</v>
      </c>
      <c r="C22" s="13"/>
      <c r="D22" s="14">
        <f t="shared" si="4"/>
        <v>1.199841396</v>
      </c>
      <c r="E22" s="13" t="s">
        <v>76</v>
      </c>
      <c r="F22" s="20" t="s">
        <v>24</v>
      </c>
      <c r="G22" s="16" t="b">
        <v>0</v>
      </c>
      <c r="H22" s="13">
        <v>1.0</v>
      </c>
      <c r="I22" s="13">
        <v>2.0</v>
      </c>
      <c r="J22" s="17">
        <f t="shared" si="6"/>
        <v>0.5999206979</v>
      </c>
      <c r="K22" s="17">
        <f t="shared" si="7"/>
        <v>0.5999206979</v>
      </c>
      <c r="L22" s="13" t="s">
        <v>68</v>
      </c>
      <c r="M22" s="13">
        <v>1261.0</v>
      </c>
      <c r="N22" s="13">
        <v>1261.0</v>
      </c>
      <c r="O22" s="18">
        <v>1513.0</v>
      </c>
      <c r="P22" s="18">
        <v>1513.0</v>
      </c>
      <c r="R22" s="28" t="s">
        <v>77</v>
      </c>
    </row>
    <row r="23" ht="24.0" customHeight="1">
      <c r="A23" s="13" t="s">
        <v>78</v>
      </c>
      <c r="B23" s="14">
        <f t="shared" si="1"/>
        <v>1</v>
      </c>
      <c r="C23" s="13"/>
      <c r="D23" s="14">
        <f t="shared" si="4"/>
        <v>1</v>
      </c>
      <c r="E23" s="13" t="s">
        <v>79</v>
      </c>
      <c r="F23" s="15" t="s">
        <v>58</v>
      </c>
      <c r="G23" s="16" t="b">
        <v>0</v>
      </c>
      <c r="H23" s="13">
        <v>1.0</v>
      </c>
      <c r="I23" s="13">
        <v>3.0</v>
      </c>
      <c r="J23" s="17">
        <f t="shared" si="6"/>
        <v>0.3333333333</v>
      </c>
      <c r="K23" s="17">
        <f t="shared" si="7"/>
        <v>0.3333333333</v>
      </c>
      <c r="L23" s="13" t="s">
        <v>68</v>
      </c>
      <c r="M23" s="13">
        <v>1261.0</v>
      </c>
      <c r="N23" s="13">
        <v>1261.0</v>
      </c>
      <c r="O23" s="18">
        <v>1261.0</v>
      </c>
      <c r="P23" s="18">
        <v>1261.0</v>
      </c>
    </row>
    <row r="24" ht="24.0" customHeight="1">
      <c r="A24" s="13" t="s">
        <v>80</v>
      </c>
      <c r="B24" s="14">
        <f t="shared" si="1"/>
        <v>1</v>
      </c>
      <c r="C24" s="13"/>
      <c r="D24" s="14">
        <f t="shared" si="4"/>
        <v>1</v>
      </c>
      <c r="E24" s="13"/>
      <c r="F24" s="13"/>
      <c r="G24" s="16" t="b">
        <v>0</v>
      </c>
      <c r="H24" s="13"/>
      <c r="I24" s="13"/>
      <c r="J24" s="14"/>
      <c r="K24" s="14"/>
      <c r="L24" s="29"/>
      <c r="M24" s="13">
        <v>1261.0</v>
      </c>
      <c r="N24" s="13">
        <v>1261.0</v>
      </c>
      <c r="O24" s="18">
        <v>1261.0</v>
      </c>
      <c r="P24" s="18">
        <v>1261.0</v>
      </c>
      <c r="R24" s="28" t="s">
        <v>81</v>
      </c>
    </row>
    <row r="25" ht="24.0" customHeight="1">
      <c r="A25" s="13" t="s">
        <v>82</v>
      </c>
      <c r="B25" s="14">
        <f t="shared" si="1"/>
        <v>0.1340206186</v>
      </c>
      <c r="C25" s="13" t="s">
        <v>60</v>
      </c>
      <c r="D25" s="14">
        <f t="shared" si="4"/>
        <v>0.4020618557</v>
      </c>
      <c r="E25" s="13"/>
      <c r="F25" s="20"/>
      <c r="G25" s="24"/>
      <c r="H25" s="13"/>
      <c r="I25" s="13">
        <v>2.0</v>
      </c>
      <c r="J25" s="17">
        <f>B25/I25</f>
        <v>0.06701030928</v>
      </c>
      <c r="K25" s="17">
        <f>D25/I25</f>
        <v>0.2010309278</v>
      </c>
      <c r="L25" s="13"/>
      <c r="M25" s="13">
        <v>1261.0</v>
      </c>
      <c r="N25" s="13">
        <v>1261.0</v>
      </c>
      <c r="O25" s="18">
        <v>169.0</v>
      </c>
      <c r="P25" s="18">
        <f>O25*3</f>
        <v>507</v>
      </c>
    </row>
    <row r="26" ht="24.0" customHeight="1">
      <c r="A26" s="13" t="s">
        <v>83</v>
      </c>
      <c r="B26" s="17">
        <v>0.15</v>
      </c>
      <c r="C26" s="13"/>
      <c r="D26" s="14">
        <f t="shared" si="4"/>
        <v>0</v>
      </c>
      <c r="E26" s="13"/>
      <c r="F26" s="13"/>
      <c r="G26" s="16" t="b">
        <v>0</v>
      </c>
      <c r="H26" s="13"/>
      <c r="I26" s="13"/>
      <c r="J26" s="14"/>
      <c r="K26" s="14"/>
      <c r="L26" s="29"/>
      <c r="M26" s="13">
        <v>1261.0</v>
      </c>
      <c r="N26" s="13">
        <v>1261.0</v>
      </c>
      <c r="O26" s="18">
        <v>227.0</v>
      </c>
      <c r="P26" s="30"/>
    </row>
    <row r="27" ht="24.0" customHeight="1">
      <c r="I27" s="31"/>
      <c r="J27" s="31"/>
    </row>
    <row r="28" ht="24.0" customHeight="1">
      <c r="I28" s="31"/>
      <c r="J28" s="31"/>
    </row>
    <row r="29" ht="24.0" customHeight="1">
      <c r="I29" s="31"/>
      <c r="J29" s="31"/>
    </row>
  </sheetData>
  <dataValidations>
    <dataValidation type="custom" allowBlank="1" showDropDown="1" sqref="B2:B26 D2:D26 J2:K26 O2:P26">
      <formula1>AND(ISNUMBER(B2),(NOT(OR(NOT(ISERROR(DATEVALUE(B2))), AND(ISNUMBER(B2), LEFT(CELL("format", B2))="D")))))</formula1>
    </dataValidation>
  </dataValidations>
  <hyperlinks>
    <hyperlink r:id="rId1" ref="R18"/>
    <hyperlink r:id="rId2" ref="R20"/>
    <hyperlink r:id="rId3" ref="R22"/>
    <hyperlink r:id="rId4" ref="R24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4.13"/>
    <col customWidth="1" min="3" max="4" width="13.88"/>
    <col customWidth="1" min="5" max="6" width="16.13"/>
    <col customWidth="1" min="7" max="7" width="44.13"/>
    <col customWidth="1" min="8" max="8" width="12.13"/>
    <col customWidth="1" min="9" max="9" width="10.75"/>
    <col customWidth="1" min="10" max="10" width="9.5"/>
    <col customWidth="1" min="11" max="11" width="12.63"/>
    <col customWidth="1" min="12" max="12" width="12.75"/>
    <col customWidth="1" min="13" max="13" width="15.63"/>
    <col customWidth="1" hidden="1" min="14" max="15" width="15.63"/>
    <col customWidth="1" hidden="1" min="16" max="16" width="10.63"/>
    <col customWidth="1" hidden="1" min="17" max="17" width="8.0"/>
    <col customWidth="1" hidden="1" min="18" max="18" width="7.88"/>
    <col customWidth="1" min="19" max="19" width="16.13"/>
    <col customWidth="1" min="20" max="20" width="24.13"/>
    <col customWidth="1" min="21" max="21" width="22.63"/>
    <col customWidth="1" min="22" max="22" width="13.88"/>
  </cols>
  <sheetData>
    <row r="1" ht="22.5" customHeight="1">
      <c r="A1" s="1" t="s">
        <v>0</v>
      </c>
      <c r="B1" s="2" t="s">
        <v>1</v>
      </c>
      <c r="C1" s="3" t="s">
        <v>84</v>
      </c>
      <c r="D1" s="3" t="s">
        <v>85</v>
      </c>
      <c r="E1" s="32" t="s">
        <v>86</v>
      </c>
      <c r="F1" s="32" t="s">
        <v>87</v>
      </c>
      <c r="G1" s="2" t="s">
        <v>4</v>
      </c>
      <c r="H1" s="5" t="s">
        <v>6</v>
      </c>
      <c r="I1" s="6" t="s">
        <v>88</v>
      </c>
      <c r="J1" s="7" t="s">
        <v>8</v>
      </c>
      <c r="K1" s="8" t="s">
        <v>9</v>
      </c>
      <c r="L1" s="8" t="s">
        <v>10</v>
      </c>
      <c r="M1" s="2" t="s">
        <v>11</v>
      </c>
      <c r="N1" s="10" t="s">
        <v>89</v>
      </c>
      <c r="O1" s="10" t="s">
        <v>13</v>
      </c>
      <c r="P1" s="11" t="s">
        <v>14</v>
      </c>
      <c r="Q1" s="12" t="s">
        <v>15</v>
      </c>
      <c r="R1" s="33" t="s">
        <v>90</v>
      </c>
    </row>
    <row r="2" ht="22.5" customHeight="1">
      <c r="A2" s="13" t="s">
        <v>91</v>
      </c>
      <c r="B2" s="14">
        <f t="shared" ref="B2:B3" si="1">P2/N2</f>
        <v>56</v>
      </c>
      <c r="C2" s="13" t="s">
        <v>92</v>
      </c>
      <c r="D2" s="14">
        <f>Q2/$N$2</f>
        <v>56</v>
      </c>
      <c r="E2" s="29"/>
      <c r="F2" s="14">
        <f>R2/$N$2</f>
        <v>56</v>
      </c>
      <c r="G2" s="13"/>
      <c r="H2" s="16" t="b">
        <v>1</v>
      </c>
      <c r="I2" s="13">
        <v>0.1</v>
      </c>
      <c r="J2" s="13" t="s">
        <v>19</v>
      </c>
      <c r="K2" s="17"/>
      <c r="L2" s="17"/>
      <c r="M2" s="13" t="s">
        <v>20</v>
      </c>
      <c r="N2" s="13">
        <v>1388.0</v>
      </c>
      <c r="O2" s="13">
        <v>1262.0</v>
      </c>
      <c r="P2" s="13">
        <v>77728.0</v>
      </c>
      <c r="Q2" s="13">
        <v>77728.0</v>
      </c>
      <c r="R2" s="13">
        <v>77728.0</v>
      </c>
    </row>
    <row r="3" ht="22.5" customHeight="1">
      <c r="A3" s="13" t="s">
        <v>93</v>
      </c>
      <c r="B3" s="14">
        <f t="shared" si="1"/>
        <v>4.318443804</v>
      </c>
      <c r="C3" s="13" t="s">
        <v>94</v>
      </c>
      <c r="D3" s="19">
        <v>21.6</v>
      </c>
      <c r="E3" s="34" t="s">
        <v>95</v>
      </c>
      <c r="F3" s="17">
        <v>43.2</v>
      </c>
      <c r="G3" s="13" t="s">
        <v>96</v>
      </c>
      <c r="H3" s="16" t="b">
        <v>0</v>
      </c>
      <c r="I3" s="13">
        <v>0.2</v>
      </c>
      <c r="J3" s="13">
        <v>7.0</v>
      </c>
      <c r="K3" s="17">
        <f t="shared" ref="K3:K13" si="2">B3/J3</f>
        <v>0.6169205434</v>
      </c>
      <c r="L3" s="17">
        <f t="shared" ref="L3:L13" si="3">F3/J3</f>
        <v>6.171428571</v>
      </c>
      <c r="M3" s="13" t="s">
        <v>44</v>
      </c>
      <c r="N3" s="13">
        <v>1388.0</v>
      </c>
      <c r="O3" s="13">
        <v>1262.0</v>
      </c>
      <c r="P3" s="13">
        <v>5994.0</v>
      </c>
      <c r="Q3" s="13"/>
      <c r="R3" s="13"/>
    </row>
    <row r="4" ht="22.5" customHeight="1">
      <c r="A4" s="13" t="s">
        <v>97</v>
      </c>
      <c r="B4" s="17">
        <v>12.0</v>
      </c>
      <c r="C4" s="13" t="s">
        <v>94</v>
      </c>
      <c r="D4" s="21">
        <f t="shared" ref="D4:D25" si="4">Q4/$N$2</f>
        <v>36</v>
      </c>
      <c r="E4" s="13" t="s">
        <v>98</v>
      </c>
      <c r="F4" s="14">
        <f t="shared" ref="F4:F9" si="5">R4/$N$2</f>
        <v>42.66354467</v>
      </c>
      <c r="G4" s="13" t="s">
        <v>99</v>
      </c>
      <c r="H4" s="16" t="b">
        <v>1</v>
      </c>
      <c r="I4" s="13">
        <v>0.7</v>
      </c>
      <c r="J4" s="13">
        <v>9.0</v>
      </c>
      <c r="K4" s="17">
        <f t="shared" si="2"/>
        <v>1.333333333</v>
      </c>
      <c r="L4" s="17">
        <f t="shared" si="3"/>
        <v>4.740393852</v>
      </c>
      <c r="M4" s="13" t="s">
        <v>44</v>
      </c>
      <c r="N4" s="13">
        <v>1388.0</v>
      </c>
      <c r="O4" s="13">
        <v>1262.0</v>
      </c>
      <c r="P4" s="13">
        <v>16565.0</v>
      </c>
      <c r="Q4" s="13">
        <v>49968.0</v>
      </c>
      <c r="R4" s="13">
        <v>59217.0</v>
      </c>
    </row>
    <row r="5" ht="22.5" customHeight="1">
      <c r="A5" s="13" t="s">
        <v>100</v>
      </c>
      <c r="B5" s="14">
        <f t="shared" ref="B5:B25" si="6">P5/N5</f>
        <v>33.60230548</v>
      </c>
      <c r="C5" s="13" t="s">
        <v>101</v>
      </c>
      <c r="D5" s="14">
        <f t="shared" si="4"/>
        <v>33.60230548</v>
      </c>
      <c r="E5" s="29"/>
      <c r="F5" s="14">
        <f t="shared" si="5"/>
        <v>33.60230548</v>
      </c>
      <c r="G5" s="13"/>
      <c r="H5" s="16" t="b">
        <v>1</v>
      </c>
      <c r="I5" s="13">
        <v>0.1</v>
      </c>
      <c r="J5" s="13">
        <v>4.0</v>
      </c>
      <c r="K5" s="17">
        <f t="shared" si="2"/>
        <v>8.400576369</v>
      </c>
      <c r="L5" s="17">
        <f t="shared" si="3"/>
        <v>8.400576369</v>
      </c>
      <c r="M5" s="13" t="s">
        <v>20</v>
      </c>
      <c r="N5" s="13">
        <v>1388.0</v>
      </c>
      <c r="O5" s="13">
        <v>1262.0</v>
      </c>
      <c r="P5" s="13">
        <v>46640.0</v>
      </c>
      <c r="Q5" s="13">
        <v>46640.0</v>
      </c>
      <c r="R5" s="13">
        <v>46640.0</v>
      </c>
    </row>
    <row r="6" ht="22.5" customHeight="1">
      <c r="A6" s="13" t="s">
        <v>102</v>
      </c>
      <c r="B6" s="14">
        <f t="shared" si="6"/>
        <v>1.680115274</v>
      </c>
      <c r="C6" s="13" t="s">
        <v>103</v>
      </c>
      <c r="D6" s="14">
        <f t="shared" si="4"/>
        <v>3.5</v>
      </c>
      <c r="E6" s="13" t="s">
        <v>104</v>
      </c>
      <c r="F6" s="14">
        <f t="shared" si="5"/>
        <v>19.18011527</v>
      </c>
      <c r="G6" s="13" t="s">
        <v>105</v>
      </c>
      <c r="H6" s="16" t="b">
        <v>1</v>
      </c>
      <c r="I6" s="13">
        <v>1.0</v>
      </c>
      <c r="J6" s="13">
        <v>8.0</v>
      </c>
      <c r="K6" s="17">
        <f t="shared" si="2"/>
        <v>0.2100144092</v>
      </c>
      <c r="L6" s="17">
        <f t="shared" si="3"/>
        <v>2.397514409</v>
      </c>
      <c r="M6" s="13" t="s">
        <v>25</v>
      </c>
      <c r="N6" s="13">
        <v>1388.0</v>
      </c>
      <c r="O6" s="13">
        <v>1262.0</v>
      </c>
      <c r="P6" s="13">
        <v>2332.0</v>
      </c>
      <c r="Q6" s="13">
        <v>4858.0</v>
      </c>
      <c r="R6" s="13">
        <v>26622.0</v>
      </c>
    </row>
    <row r="7" ht="22.5" customHeight="1">
      <c r="A7" s="13" t="s">
        <v>106</v>
      </c>
      <c r="B7" s="14">
        <f t="shared" si="6"/>
        <v>6.300432277</v>
      </c>
      <c r="C7" s="13" t="s">
        <v>107</v>
      </c>
      <c r="D7" s="35">
        <f t="shared" si="4"/>
        <v>18.90129683</v>
      </c>
      <c r="E7" s="29"/>
      <c r="F7" s="14">
        <f t="shared" si="5"/>
        <v>18.90129683</v>
      </c>
      <c r="G7" s="13"/>
      <c r="H7" s="16" t="b">
        <v>0</v>
      </c>
      <c r="I7" s="36">
        <v>2.0</v>
      </c>
      <c r="J7" s="13">
        <v>7.0</v>
      </c>
      <c r="K7" s="17">
        <f t="shared" si="2"/>
        <v>0.9000617538</v>
      </c>
      <c r="L7" s="17">
        <f t="shared" si="3"/>
        <v>2.700185261</v>
      </c>
      <c r="M7" s="13" t="s">
        <v>25</v>
      </c>
      <c r="N7" s="13">
        <v>1388.0</v>
      </c>
      <c r="O7" s="13">
        <v>1262.0</v>
      </c>
      <c r="P7" s="13">
        <v>8745.0</v>
      </c>
      <c r="Q7" s="13">
        <v>26235.0</v>
      </c>
      <c r="R7" s="13">
        <v>26235.0</v>
      </c>
    </row>
    <row r="8" ht="22.5" customHeight="1">
      <c r="A8" s="13" t="s">
        <v>108</v>
      </c>
      <c r="B8" s="14">
        <f t="shared" si="6"/>
        <v>3</v>
      </c>
      <c r="C8" s="13" t="s">
        <v>94</v>
      </c>
      <c r="D8" s="35">
        <f t="shared" si="4"/>
        <v>15</v>
      </c>
      <c r="E8" s="29"/>
      <c r="F8" s="14">
        <f t="shared" si="5"/>
        <v>15</v>
      </c>
      <c r="G8" s="13" t="s">
        <v>109</v>
      </c>
      <c r="H8" s="16" t="b">
        <v>1</v>
      </c>
      <c r="I8" s="13">
        <v>1.0</v>
      </c>
      <c r="J8" s="13">
        <v>5.0</v>
      </c>
      <c r="K8" s="17">
        <f t="shared" si="2"/>
        <v>0.6</v>
      </c>
      <c r="L8" s="17">
        <f t="shared" si="3"/>
        <v>3</v>
      </c>
      <c r="M8" s="13" t="s">
        <v>39</v>
      </c>
      <c r="N8" s="13">
        <v>1388.0</v>
      </c>
      <c r="O8" s="13">
        <v>1262.0</v>
      </c>
      <c r="P8" s="13">
        <v>4164.0</v>
      </c>
      <c r="Q8" s="13">
        <v>20820.0</v>
      </c>
      <c r="R8" s="13">
        <v>20820.0</v>
      </c>
    </row>
    <row r="9" ht="22.5" customHeight="1">
      <c r="A9" s="13" t="s">
        <v>110</v>
      </c>
      <c r="B9" s="14">
        <f t="shared" si="6"/>
        <v>2.75</v>
      </c>
      <c r="C9" s="13" t="s">
        <v>94</v>
      </c>
      <c r="D9" s="35">
        <f t="shared" si="4"/>
        <v>13.75</v>
      </c>
      <c r="E9" s="29"/>
      <c r="F9" s="14">
        <f t="shared" si="5"/>
        <v>13.75</v>
      </c>
      <c r="G9" s="13" t="s">
        <v>111</v>
      </c>
      <c r="H9" s="16" t="b">
        <v>0</v>
      </c>
      <c r="I9" s="13">
        <v>0.7</v>
      </c>
      <c r="J9" s="13">
        <v>5.0</v>
      </c>
      <c r="K9" s="17">
        <f t="shared" si="2"/>
        <v>0.55</v>
      </c>
      <c r="L9" s="17">
        <f t="shared" si="3"/>
        <v>2.75</v>
      </c>
      <c r="M9" s="13" t="s">
        <v>39</v>
      </c>
      <c r="N9" s="13">
        <v>1388.0</v>
      </c>
      <c r="O9" s="13">
        <v>1262.0</v>
      </c>
      <c r="P9" s="13">
        <v>3817.0</v>
      </c>
      <c r="Q9" s="13">
        <v>19085.0</v>
      </c>
      <c r="R9" s="13">
        <v>19085.0</v>
      </c>
    </row>
    <row r="10" ht="22.5" customHeight="1">
      <c r="A10" s="13" t="s">
        <v>112</v>
      </c>
      <c r="B10" s="14">
        <f t="shared" si="6"/>
        <v>0.9661383285</v>
      </c>
      <c r="C10" s="13" t="s">
        <v>113</v>
      </c>
      <c r="D10" s="14">
        <f t="shared" si="4"/>
        <v>1.889769452</v>
      </c>
      <c r="E10" s="13" t="s">
        <v>114</v>
      </c>
      <c r="F10" s="17">
        <v>12.96</v>
      </c>
      <c r="G10" s="13" t="s">
        <v>115</v>
      </c>
      <c r="H10" s="16" t="b">
        <v>0</v>
      </c>
      <c r="I10" s="13">
        <v>0.4</v>
      </c>
      <c r="J10" s="13">
        <v>3.0</v>
      </c>
      <c r="K10" s="17">
        <f t="shared" si="2"/>
        <v>0.3220461095</v>
      </c>
      <c r="L10" s="17">
        <f t="shared" si="3"/>
        <v>4.32</v>
      </c>
      <c r="M10" s="20" t="s">
        <v>25</v>
      </c>
      <c r="N10" s="13">
        <v>1388.0</v>
      </c>
      <c r="O10" s="13">
        <v>1262.0</v>
      </c>
      <c r="P10" s="13">
        <v>1341.0</v>
      </c>
      <c r="Q10" s="13">
        <v>2623.0</v>
      </c>
      <c r="R10" s="13">
        <v>13117.0</v>
      </c>
    </row>
    <row r="11" ht="22.5" customHeight="1">
      <c r="A11" s="13" t="s">
        <v>116</v>
      </c>
      <c r="B11" s="14">
        <f t="shared" si="6"/>
        <v>0.9596541787</v>
      </c>
      <c r="C11" s="13" t="s">
        <v>103</v>
      </c>
      <c r="D11" s="14">
        <f t="shared" si="4"/>
        <v>1.799711816</v>
      </c>
      <c r="E11" s="13" t="s">
        <v>117</v>
      </c>
      <c r="F11" s="14">
        <f t="shared" ref="F11:F25" si="7">R11/$N$2</f>
        <v>9.958213256</v>
      </c>
      <c r="G11" s="13" t="s">
        <v>118</v>
      </c>
      <c r="H11" s="16" t="b">
        <v>1</v>
      </c>
      <c r="I11" s="13">
        <v>1.0</v>
      </c>
      <c r="J11" s="13">
        <v>5.0</v>
      </c>
      <c r="K11" s="17">
        <f t="shared" si="2"/>
        <v>0.1919308357</v>
      </c>
      <c r="L11" s="17">
        <f t="shared" si="3"/>
        <v>1.991642651</v>
      </c>
      <c r="M11" s="13" t="s">
        <v>68</v>
      </c>
      <c r="N11" s="13">
        <v>1388.0</v>
      </c>
      <c r="O11" s="13">
        <v>1262.0</v>
      </c>
      <c r="P11" s="13">
        <v>1332.0</v>
      </c>
      <c r="Q11" s="13">
        <v>2498.0</v>
      </c>
      <c r="R11" s="37">
        <v>13822.0</v>
      </c>
    </row>
    <row r="12" ht="22.5" customHeight="1">
      <c r="A12" s="13" t="s">
        <v>119</v>
      </c>
      <c r="B12" s="14">
        <f t="shared" si="6"/>
        <v>2.399855908</v>
      </c>
      <c r="C12" s="13" t="s">
        <v>120</v>
      </c>
      <c r="D12" s="14">
        <f t="shared" si="4"/>
        <v>6</v>
      </c>
      <c r="E12" s="13" t="s">
        <v>121</v>
      </c>
      <c r="F12" s="14">
        <f t="shared" si="7"/>
        <v>9</v>
      </c>
      <c r="G12" s="13" t="s">
        <v>122</v>
      </c>
      <c r="H12" s="16" t="b">
        <v>1</v>
      </c>
      <c r="I12" s="13">
        <v>1.0</v>
      </c>
      <c r="J12" s="13">
        <v>5.0</v>
      </c>
      <c r="K12" s="17">
        <f t="shared" si="2"/>
        <v>0.4799711816</v>
      </c>
      <c r="L12" s="17">
        <f t="shared" si="3"/>
        <v>1.8</v>
      </c>
      <c r="M12" s="13" t="s">
        <v>25</v>
      </c>
      <c r="N12" s="13">
        <v>1388.0</v>
      </c>
      <c r="O12" s="13">
        <v>1262.0</v>
      </c>
      <c r="P12" s="13">
        <v>3331.0</v>
      </c>
      <c r="Q12" s="13">
        <v>8328.0</v>
      </c>
      <c r="R12" s="13">
        <v>12492.0</v>
      </c>
    </row>
    <row r="13" ht="22.5" customHeight="1">
      <c r="A13" s="13" t="s">
        <v>123</v>
      </c>
      <c r="B13" s="14">
        <f t="shared" si="6"/>
        <v>2.161383285</v>
      </c>
      <c r="C13" s="13" t="s">
        <v>124</v>
      </c>
      <c r="D13" s="14">
        <f t="shared" si="4"/>
        <v>3.242074928</v>
      </c>
      <c r="E13" s="13" t="s">
        <v>125</v>
      </c>
      <c r="F13" s="14">
        <f t="shared" si="7"/>
        <v>6.484149856</v>
      </c>
      <c r="G13" s="13"/>
      <c r="H13" s="16" t="b">
        <v>0</v>
      </c>
      <c r="I13" s="13">
        <v>0.2</v>
      </c>
      <c r="J13" s="13">
        <v>5.0</v>
      </c>
      <c r="K13" s="17">
        <f t="shared" si="2"/>
        <v>0.4322766571</v>
      </c>
      <c r="L13" s="17">
        <f t="shared" si="3"/>
        <v>1.296829971</v>
      </c>
      <c r="M13" s="13" t="s">
        <v>39</v>
      </c>
      <c r="N13" s="13">
        <v>1388.0</v>
      </c>
      <c r="O13" s="13">
        <v>1262.0</v>
      </c>
      <c r="P13" s="13">
        <v>3000.0</v>
      </c>
      <c r="Q13" s="13">
        <v>4500.0</v>
      </c>
      <c r="R13" s="13">
        <v>9000.0</v>
      </c>
    </row>
    <row r="14" ht="22.5" customHeight="1">
      <c r="A14" s="13" t="s">
        <v>126</v>
      </c>
      <c r="B14" s="14">
        <f t="shared" si="6"/>
        <v>6</v>
      </c>
      <c r="C14" s="13" t="s">
        <v>127</v>
      </c>
      <c r="D14" s="14">
        <f t="shared" si="4"/>
        <v>6</v>
      </c>
      <c r="E14" s="29"/>
      <c r="F14" s="14">
        <f t="shared" si="7"/>
        <v>6</v>
      </c>
      <c r="G14" s="13" t="s">
        <v>128</v>
      </c>
      <c r="H14" s="16" t="b">
        <v>1</v>
      </c>
      <c r="I14" s="13">
        <v>1.0</v>
      </c>
      <c r="J14" s="13" t="s">
        <v>62</v>
      </c>
      <c r="K14" s="17"/>
      <c r="L14" s="17"/>
      <c r="M14" s="13" t="s">
        <v>25</v>
      </c>
      <c r="N14" s="13">
        <v>1388.0</v>
      </c>
      <c r="O14" s="13">
        <v>1262.0</v>
      </c>
      <c r="P14" s="13">
        <v>8328.0</v>
      </c>
      <c r="Q14" s="13">
        <v>8328.0</v>
      </c>
      <c r="R14" s="13">
        <v>8328.0</v>
      </c>
      <c r="T14" s="27" t="s">
        <v>65</v>
      </c>
    </row>
    <row r="15" ht="21.0" customHeight="1">
      <c r="A15" s="13" t="s">
        <v>129</v>
      </c>
      <c r="B15" s="38">
        <f t="shared" si="6"/>
        <v>0.8400576369</v>
      </c>
      <c r="C15" s="13" t="s">
        <v>130</v>
      </c>
      <c r="D15" s="14">
        <f t="shared" si="4"/>
        <v>0.280259366</v>
      </c>
      <c r="E15" s="13" t="s">
        <v>131</v>
      </c>
      <c r="F15" s="14">
        <f t="shared" si="7"/>
        <v>5.040345821</v>
      </c>
      <c r="G15" s="13" t="s">
        <v>132</v>
      </c>
      <c r="H15" s="16" t="b">
        <v>1</v>
      </c>
      <c r="I15" s="13">
        <v>0.2</v>
      </c>
      <c r="J15" s="13">
        <v>6.0</v>
      </c>
      <c r="K15" s="17">
        <f>B15/J15</f>
        <v>0.1400096061</v>
      </c>
      <c r="L15" s="17">
        <f>F15/J15</f>
        <v>0.8400576369</v>
      </c>
      <c r="M15" s="39" t="s">
        <v>39</v>
      </c>
      <c r="N15" s="13">
        <v>1388.0</v>
      </c>
      <c r="O15" s="13">
        <v>1262.0</v>
      </c>
      <c r="P15" s="13">
        <v>1166.0</v>
      </c>
      <c r="Q15" s="13">
        <v>389.0</v>
      </c>
      <c r="R15" s="13">
        <v>6996.0</v>
      </c>
    </row>
    <row r="16" ht="21.0" customHeight="1">
      <c r="A16" s="13" t="s">
        <v>99</v>
      </c>
      <c r="B16" s="14">
        <f t="shared" si="6"/>
        <v>1.500720461</v>
      </c>
      <c r="C16" s="13" t="s">
        <v>60</v>
      </c>
      <c r="D16" s="14">
        <f t="shared" si="4"/>
        <v>4.502161383</v>
      </c>
      <c r="E16" s="29"/>
      <c r="F16" s="14">
        <f t="shared" si="7"/>
        <v>4.502161383</v>
      </c>
      <c r="G16" s="13"/>
      <c r="H16" s="16" t="b">
        <v>0</v>
      </c>
      <c r="I16" s="13"/>
      <c r="J16" s="13"/>
      <c r="K16" s="17"/>
      <c r="L16" s="17"/>
      <c r="M16" s="29"/>
      <c r="N16" s="13">
        <v>1388.0</v>
      </c>
      <c r="O16" s="13">
        <v>1262.0</v>
      </c>
      <c r="P16" s="13">
        <v>2083.0</v>
      </c>
      <c r="Q16" s="13">
        <v>6249.0</v>
      </c>
      <c r="R16" s="13">
        <v>6249.0</v>
      </c>
      <c r="T16" s="28" t="s">
        <v>133</v>
      </c>
    </row>
    <row r="17" ht="21.0" customHeight="1">
      <c r="A17" s="13" t="s">
        <v>134</v>
      </c>
      <c r="B17" s="14">
        <f t="shared" si="6"/>
        <v>1.200288184</v>
      </c>
      <c r="C17" s="13" t="s">
        <v>135</v>
      </c>
      <c r="D17" s="14">
        <f t="shared" si="4"/>
        <v>2.5</v>
      </c>
      <c r="E17" s="13" t="s">
        <v>136</v>
      </c>
      <c r="F17" s="14">
        <f t="shared" si="7"/>
        <v>4.456051873</v>
      </c>
      <c r="G17" s="13" t="s">
        <v>137</v>
      </c>
      <c r="H17" s="16" t="b">
        <v>1</v>
      </c>
      <c r="I17" s="13">
        <v>1.0</v>
      </c>
      <c r="J17" s="13">
        <v>5.0</v>
      </c>
      <c r="K17" s="17">
        <f t="shared" ref="K17:K23" si="8">B17/J17</f>
        <v>0.2400576369</v>
      </c>
      <c r="L17" s="17">
        <f t="shared" ref="L17:L23" si="9">F17/J17</f>
        <v>0.8912103746</v>
      </c>
      <c r="M17" s="13" t="s">
        <v>25</v>
      </c>
      <c r="N17" s="13">
        <v>1388.0</v>
      </c>
      <c r="O17" s="13">
        <v>1262.0</v>
      </c>
      <c r="P17" s="13">
        <v>1666.0</v>
      </c>
      <c r="Q17" s="13">
        <v>3470.0</v>
      </c>
      <c r="R17" s="34">
        <v>6185.0</v>
      </c>
    </row>
    <row r="18" ht="21.0" customHeight="1">
      <c r="A18" s="13" t="s">
        <v>138</v>
      </c>
      <c r="B18" s="40">
        <f t="shared" si="6"/>
        <v>1.5</v>
      </c>
      <c r="C18" s="13" t="s">
        <v>107</v>
      </c>
      <c r="D18" s="14">
        <f t="shared" si="4"/>
        <v>3</v>
      </c>
      <c r="E18" s="13" t="s">
        <v>139</v>
      </c>
      <c r="F18" s="14">
        <f t="shared" si="7"/>
        <v>4.378962536</v>
      </c>
      <c r="G18" s="13" t="s">
        <v>140</v>
      </c>
      <c r="H18" s="16" t="b">
        <v>1</v>
      </c>
      <c r="I18" s="13">
        <v>1.0</v>
      </c>
      <c r="J18" s="13">
        <v>4.0</v>
      </c>
      <c r="K18" s="17">
        <f t="shared" si="8"/>
        <v>0.375</v>
      </c>
      <c r="L18" s="17">
        <f t="shared" si="9"/>
        <v>1.094740634</v>
      </c>
      <c r="M18" s="25" t="s">
        <v>39</v>
      </c>
      <c r="N18" s="13">
        <v>1388.0</v>
      </c>
      <c r="O18" s="13">
        <v>1262.0</v>
      </c>
      <c r="P18" s="13">
        <v>2082.0</v>
      </c>
      <c r="Q18" s="13">
        <v>4164.0</v>
      </c>
      <c r="R18" s="13">
        <v>6078.0</v>
      </c>
      <c r="T18" s="28" t="s">
        <v>77</v>
      </c>
    </row>
    <row r="19" ht="21.0" customHeight="1">
      <c r="A19" s="13" t="s">
        <v>141</v>
      </c>
      <c r="B19" s="14">
        <f t="shared" si="6"/>
        <v>0.9798270893</v>
      </c>
      <c r="C19" s="13" t="s">
        <v>124</v>
      </c>
      <c r="D19" s="14">
        <f t="shared" si="4"/>
        <v>1.469740634</v>
      </c>
      <c r="E19" s="13" t="s">
        <v>142</v>
      </c>
      <c r="F19" s="14">
        <f t="shared" si="7"/>
        <v>2.84870317</v>
      </c>
      <c r="G19" s="13" t="s">
        <v>143</v>
      </c>
      <c r="H19" s="16" t="b">
        <v>1</v>
      </c>
      <c r="I19" s="13">
        <v>1.0</v>
      </c>
      <c r="J19" s="13">
        <v>3.0</v>
      </c>
      <c r="K19" s="17">
        <f t="shared" si="8"/>
        <v>0.3266090298</v>
      </c>
      <c r="L19" s="17">
        <f t="shared" si="9"/>
        <v>0.9495677233</v>
      </c>
      <c r="M19" s="13" t="s">
        <v>68</v>
      </c>
      <c r="N19" s="13">
        <v>1388.0</v>
      </c>
      <c r="O19" s="13">
        <v>1262.0</v>
      </c>
      <c r="P19" s="13">
        <v>1360.0</v>
      </c>
      <c r="Q19" s="13">
        <v>2040.0</v>
      </c>
      <c r="R19" s="13">
        <v>3954.0</v>
      </c>
    </row>
    <row r="20" ht="24.0" customHeight="1">
      <c r="A20" s="13" t="s">
        <v>144</v>
      </c>
      <c r="B20" s="14">
        <f t="shared" si="6"/>
        <v>1.680115274</v>
      </c>
      <c r="C20" s="13" t="s">
        <v>124</v>
      </c>
      <c r="D20" s="14">
        <f t="shared" si="4"/>
        <v>2.800432277</v>
      </c>
      <c r="E20" s="29"/>
      <c r="F20" s="14">
        <f t="shared" si="7"/>
        <v>2.800432277</v>
      </c>
      <c r="G20" s="13"/>
      <c r="H20" s="16" t="b">
        <v>1</v>
      </c>
      <c r="I20" s="13">
        <v>1.0</v>
      </c>
      <c r="J20" s="13">
        <v>3.0</v>
      </c>
      <c r="K20" s="17">
        <f t="shared" si="8"/>
        <v>0.5600384246</v>
      </c>
      <c r="L20" s="17">
        <f t="shared" si="9"/>
        <v>0.9334774256</v>
      </c>
      <c r="M20" s="13" t="s">
        <v>68</v>
      </c>
      <c r="N20" s="13">
        <v>1388.0</v>
      </c>
      <c r="O20" s="13">
        <v>1262.0</v>
      </c>
      <c r="P20" s="13">
        <v>2332.0</v>
      </c>
      <c r="Q20" s="13">
        <v>3887.0</v>
      </c>
      <c r="R20" s="13">
        <v>3887.0</v>
      </c>
      <c r="T20" s="28" t="s">
        <v>81</v>
      </c>
    </row>
    <row r="21" ht="24.0" customHeight="1">
      <c r="A21" s="13" t="s">
        <v>145</v>
      </c>
      <c r="B21" s="14">
        <f t="shared" si="6"/>
        <v>0.6585014409</v>
      </c>
      <c r="C21" s="13" t="s">
        <v>146</v>
      </c>
      <c r="D21" s="14">
        <f t="shared" si="4"/>
        <v>1.320605187</v>
      </c>
      <c r="E21" s="13" t="s">
        <v>147</v>
      </c>
      <c r="F21" s="14">
        <f t="shared" si="7"/>
        <v>2.641210375</v>
      </c>
      <c r="G21" s="13" t="s">
        <v>148</v>
      </c>
      <c r="H21" s="16" t="b">
        <v>0</v>
      </c>
      <c r="I21" s="13">
        <v>0.5</v>
      </c>
      <c r="J21" s="13">
        <v>1.0</v>
      </c>
      <c r="K21" s="17">
        <f t="shared" si="8"/>
        <v>0.6585014409</v>
      </c>
      <c r="L21" s="17">
        <f t="shared" si="9"/>
        <v>2.641210375</v>
      </c>
      <c r="M21" s="13" t="s">
        <v>68</v>
      </c>
      <c r="N21" s="13">
        <v>1388.0</v>
      </c>
      <c r="O21" s="13">
        <v>1262.0</v>
      </c>
      <c r="P21" s="13">
        <v>914.0</v>
      </c>
      <c r="Q21" s="13">
        <f>1833</f>
        <v>1833</v>
      </c>
      <c r="R21" s="13">
        <f>1833*2</f>
        <v>3666</v>
      </c>
    </row>
    <row r="22" ht="24.0" customHeight="1">
      <c r="A22" s="13" t="s">
        <v>149</v>
      </c>
      <c r="B22" s="14">
        <f t="shared" si="6"/>
        <v>1.680115274</v>
      </c>
      <c r="C22" s="13" t="s">
        <v>124</v>
      </c>
      <c r="D22" s="14">
        <f t="shared" si="4"/>
        <v>2.520172911</v>
      </c>
      <c r="E22" s="29"/>
      <c r="F22" s="14">
        <f t="shared" si="7"/>
        <v>2.520172911</v>
      </c>
      <c r="G22" s="13" t="s">
        <v>109</v>
      </c>
      <c r="H22" s="16" t="b">
        <v>0</v>
      </c>
      <c r="I22" s="13">
        <v>1.0</v>
      </c>
      <c r="J22" s="13">
        <v>4.0</v>
      </c>
      <c r="K22" s="17">
        <f t="shared" si="8"/>
        <v>0.4200288184</v>
      </c>
      <c r="L22" s="17">
        <f t="shared" si="9"/>
        <v>0.6300432277</v>
      </c>
      <c r="M22" s="13" t="s">
        <v>39</v>
      </c>
      <c r="N22" s="13">
        <v>1388.0</v>
      </c>
      <c r="O22" s="13">
        <v>1262.0</v>
      </c>
      <c r="P22" s="13">
        <v>2332.0</v>
      </c>
      <c r="Q22" s="13">
        <v>3498.0</v>
      </c>
      <c r="R22" s="13">
        <v>3498.0</v>
      </c>
    </row>
    <row r="23" ht="24.0" customHeight="1">
      <c r="A23" s="13" t="s">
        <v>150</v>
      </c>
      <c r="B23" s="14">
        <f t="shared" si="6"/>
        <v>1.680115274</v>
      </c>
      <c r="C23" s="13"/>
      <c r="D23" s="14">
        <f t="shared" si="4"/>
        <v>1.680115274</v>
      </c>
      <c r="E23" s="29"/>
      <c r="F23" s="14">
        <f t="shared" si="7"/>
        <v>1.680115274</v>
      </c>
      <c r="G23" s="13" t="s">
        <v>151</v>
      </c>
      <c r="H23" s="16" t="b">
        <v>0</v>
      </c>
      <c r="I23" s="13">
        <v>0.4</v>
      </c>
      <c r="J23" s="13">
        <v>3.0</v>
      </c>
      <c r="K23" s="17">
        <f t="shared" si="8"/>
        <v>0.5600384246</v>
      </c>
      <c r="L23" s="17">
        <f t="shared" si="9"/>
        <v>0.5600384246</v>
      </c>
      <c r="M23" s="13" t="s">
        <v>68</v>
      </c>
      <c r="N23" s="13">
        <v>1388.0</v>
      </c>
      <c r="O23" s="13">
        <v>1262.0</v>
      </c>
      <c r="P23" s="13">
        <v>2332.0</v>
      </c>
      <c r="Q23" s="13">
        <v>2332.0</v>
      </c>
      <c r="R23" s="13">
        <v>2332.0</v>
      </c>
    </row>
    <row r="24" ht="24.0" customHeight="1">
      <c r="A24" s="13" t="s">
        <v>152</v>
      </c>
      <c r="B24" s="14">
        <f t="shared" si="6"/>
        <v>0.4596541787</v>
      </c>
      <c r="C24" s="13" t="s">
        <v>60</v>
      </c>
      <c r="D24" s="14">
        <f t="shared" si="4"/>
        <v>1.378962536</v>
      </c>
      <c r="E24" s="29"/>
      <c r="F24" s="14">
        <f t="shared" si="7"/>
        <v>1.378962536</v>
      </c>
      <c r="G24" s="13"/>
      <c r="H24" s="16" t="b">
        <v>0</v>
      </c>
      <c r="I24" s="13"/>
      <c r="J24" s="13"/>
      <c r="K24" s="17"/>
      <c r="L24" s="17"/>
      <c r="M24" s="29"/>
      <c r="N24" s="13">
        <v>1388.0</v>
      </c>
      <c r="O24" s="13">
        <v>1262.0</v>
      </c>
      <c r="P24" s="13">
        <v>638.0</v>
      </c>
      <c r="Q24" s="13">
        <v>1914.0</v>
      </c>
      <c r="R24" s="13">
        <v>1914.0</v>
      </c>
    </row>
    <row r="25" ht="24.0" customHeight="1">
      <c r="A25" s="13" t="s">
        <v>153</v>
      </c>
      <c r="B25" s="14">
        <f t="shared" si="6"/>
        <v>1.200288184</v>
      </c>
      <c r="C25" s="13"/>
      <c r="D25" s="14">
        <f t="shared" si="4"/>
        <v>1.200288184</v>
      </c>
      <c r="E25" s="29"/>
      <c r="F25" s="14">
        <f t="shared" si="7"/>
        <v>1.200288184</v>
      </c>
      <c r="G25" s="13" t="s">
        <v>154</v>
      </c>
      <c r="H25" s="16" t="b">
        <v>0</v>
      </c>
      <c r="I25" s="13">
        <v>0.7</v>
      </c>
      <c r="J25" s="13">
        <v>2.0</v>
      </c>
      <c r="K25" s="17">
        <f>B25/J25</f>
        <v>0.6001440922</v>
      </c>
      <c r="L25" s="17">
        <f>F25/J25</f>
        <v>0.6001440922</v>
      </c>
      <c r="M25" s="13" t="s">
        <v>68</v>
      </c>
      <c r="N25" s="13">
        <v>1388.0</v>
      </c>
      <c r="O25" s="13">
        <v>1262.0</v>
      </c>
      <c r="P25" s="13">
        <v>1666.0</v>
      </c>
      <c r="Q25" s="13">
        <v>1666.0</v>
      </c>
      <c r="R25" s="13">
        <v>1666.0</v>
      </c>
    </row>
    <row r="26" ht="24.0" customHeight="1">
      <c r="A26" s="13" t="s">
        <v>155</v>
      </c>
      <c r="B26" s="17">
        <v>0.15</v>
      </c>
      <c r="C26" s="13" t="s">
        <v>60</v>
      </c>
      <c r="D26" s="17">
        <v>0.45</v>
      </c>
      <c r="E26" s="29"/>
      <c r="F26" s="17">
        <v>0.45</v>
      </c>
      <c r="G26" s="13"/>
      <c r="H26" s="16" t="b">
        <v>0</v>
      </c>
      <c r="I26" s="13"/>
      <c r="J26" s="13"/>
      <c r="K26" s="14"/>
      <c r="L26" s="14"/>
      <c r="M26" s="29"/>
      <c r="N26" s="13">
        <v>1388.0</v>
      </c>
      <c r="O26" s="13">
        <v>1262.0</v>
      </c>
      <c r="P26" s="13"/>
      <c r="Q26" s="13"/>
      <c r="R26" s="13"/>
    </row>
    <row r="27" ht="24.0" customHeight="1">
      <c r="A27" s="13" t="s">
        <v>83</v>
      </c>
      <c r="B27" s="14">
        <f>P27/N27</f>
        <v>0.1498559078</v>
      </c>
      <c r="C27" s="13"/>
      <c r="D27" s="14">
        <f>Q27/$N$2</f>
        <v>0</v>
      </c>
      <c r="E27" s="29"/>
      <c r="F27" s="14">
        <f>R27/$N$2</f>
        <v>0</v>
      </c>
      <c r="G27" s="13"/>
      <c r="H27" s="16" t="b">
        <v>0</v>
      </c>
      <c r="I27" s="13"/>
      <c r="J27" s="13"/>
      <c r="K27" s="14"/>
      <c r="L27" s="14"/>
      <c r="M27" s="29"/>
      <c r="N27" s="13">
        <v>1388.0</v>
      </c>
      <c r="O27" s="13">
        <v>1262.0</v>
      </c>
      <c r="P27" s="13">
        <v>208.0</v>
      </c>
      <c r="Q27" s="41"/>
      <c r="R27" s="41"/>
    </row>
  </sheetData>
  <dataValidations>
    <dataValidation type="custom" allowBlank="1" showDropDown="1" sqref="B2:B27 D2:D27 F2:F27 K2:L27">
      <formula1>AND(ISNUMBER(B2),(NOT(OR(NOT(ISERROR(DATEVALUE(B2))), AND(ISNUMBER(B2), LEFT(CELL("format", B2))="D")))))</formula1>
    </dataValidation>
  </dataValidations>
  <hyperlinks>
    <hyperlink r:id="rId1" ref="T14"/>
    <hyperlink r:id="rId2" ref="T16"/>
    <hyperlink r:id="rId3" ref="T18"/>
    <hyperlink r:id="rId4" ref="T20"/>
  </hyperlinks>
  <drawing r:id="rId5"/>
  <tableParts count="1"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3.63"/>
    <col customWidth="1" min="3" max="3" width="14.13"/>
    <col customWidth="1" min="4" max="5" width="13.88"/>
    <col customWidth="1" min="6" max="7" width="16.13"/>
    <col customWidth="1" min="8" max="8" width="39.5"/>
    <col customWidth="1" min="9" max="9" width="10.75"/>
    <col customWidth="1" min="10" max="10" width="10.63"/>
    <col customWidth="1" min="11" max="11" width="9.25"/>
    <col customWidth="1" min="12" max="12" width="15.5"/>
    <col customWidth="1" min="13" max="13" width="15.63"/>
    <col customWidth="1" min="14" max="14" width="15.13"/>
    <col customWidth="1" hidden="1" min="15" max="15" width="13.5"/>
    <col customWidth="1" hidden="1" min="16" max="16" width="14.13"/>
    <col customWidth="1" hidden="1" min="17" max="17" width="11.5"/>
    <col customWidth="1" hidden="1" min="18" max="18" width="11.13"/>
    <col customWidth="1" hidden="1" min="19" max="19" width="11.88"/>
    <col customWidth="1" min="20" max="20" width="18.38"/>
    <col customWidth="1" min="21" max="21" width="26.88"/>
  </cols>
  <sheetData>
    <row r="1" ht="22.5" customHeight="1">
      <c r="A1" s="1" t="s">
        <v>0</v>
      </c>
      <c r="B1" s="2" t="s">
        <v>156</v>
      </c>
      <c r="C1" s="2" t="s">
        <v>1</v>
      </c>
      <c r="D1" s="3" t="s">
        <v>84</v>
      </c>
      <c r="E1" s="3" t="s">
        <v>85</v>
      </c>
      <c r="F1" s="32" t="s">
        <v>86</v>
      </c>
      <c r="G1" s="32" t="s">
        <v>87</v>
      </c>
      <c r="H1" s="2" t="s">
        <v>4</v>
      </c>
      <c r="I1" s="5" t="s">
        <v>6</v>
      </c>
      <c r="J1" s="6" t="s">
        <v>7</v>
      </c>
      <c r="K1" s="7" t="s">
        <v>8</v>
      </c>
      <c r="L1" s="8" t="s">
        <v>9</v>
      </c>
      <c r="M1" s="8" t="s">
        <v>10</v>
      </c>
      <c r="N1" s="2" t="s">
        <v>11</v>
      </c>
      <c r="O1" s="10" t="s">
        <v>157</v>
      </c>
      <c r="P1" s="10" t="s">
        <v>13</v>
      </c>
      <c r="Q1" s="11" t="s">
        <v>14</v>
      </c>
      <c r="R1" s="12" t="s">
        <v>15</v>
      </c>
      <c r="S1" s="33" t="s">
        <v>90</v>
      </c>
    </row>
    <row r="2" ht="22.5" customHeight="1">
      <c r="A2" s="20" t="s">
        <v>158</v>
      </c>
      <c r="B2" s="42" t="s">
        <v>159</v>
      </c>
      <c r="C2" s="17">
        <v>21.0</v>
      </c>
      <c r="D2" s="13" t="s">
        <v>156</v>
      </c>
      <c r="E2" s="17">
        <v>105.0</v>
      </c>
      <c r="F2" s="13" t="s">
        <v>160</v>
      </c>
      <c r="G2" s="19">
        <v>105.0</v>
      </c>
      <c r="H2" s="13" t="s">
        <v>161</v>
      </c>
      <c r="I2" s="16" t="b">
        <v>1</v>
      </c>
      <c r="J2" s="13">
        <v>1.0</v>
      </c>
      <c r="K2" s="13">
        <v>5.0</v>
      </c>
      <c r="L2" s="17">
        <f t="shared" ref="L2:L5" si="1">C2/K2</f>
        <v>4.2</v>
      </c>
      <c r="M2" s="17">
        <f t="shared" ref="M2:M5" si="2">G2/K2</f>
        <v>21</v>
      </c>
      <c r="N2" s="13" t="s">
        <v>25</v>
      </c>
      <c r="O2" s="13">
        <v>1628.0</v>
      </c>
      <c r="P2" s="13">
        <v>1542.0</v>
      </c>
      <c r="Q2" s="18"/>
      <c r="R2" s="18"/>
      <c r="S2" s="18"/>
    </row>
    <row r="3" ht="22.5" customHeight="1">
      <c r="A3" s="20" t="s">
        <v>162</v>
      </c>
      <c r="B3" s="42" t="s">
        <v>159</v>
      </c>
      <c r="C3" s="17">
        <v>16.33</v>
      </c>
      <c r="D3" s="13" t="s">
        <v>156</v>
      </c>
      <c r="E3" s="17">
        <v>81.67</v>
      </c>
      <c r="F3" s="13" t="s">
        <v>163</v>
      </c>
      <c r="G3" s="19">
        <v>81.67</v>
      </c>
      <c r="H3" s="13" t="s">
        <v>161</v>
      </c>
      <c r="I3" s="16" t="b">
        <v>1</v>
      </c>
      <c r="J3" s="13">
        <v>1.0</v>
      </c>
      <c r="K3" s="13">
        <v>5.0</v>
      </c>
      <c r="L3" s="17">
        <f t="shared" si="1"/>
        <v>3.266</v>
      </c>
      <c r="M3" s="17">
        <f t="shared" si="2"/>
        <v>16.334</v>
      </c>
      <c r="N3" s="13" t="s">
        <v>25</v>
      </c>
      <c r="O3" s="13">
        <v>1628.0</v>
      </c>
      <c r="P3" s="13">
        <v>1542.0</v>
      </c>
      <c r="Q3" s="18"/>
      <c r="R3" s="18"/>
      <c r="S3" s="18"/>
    </row>
    <row r="4" ht="22.5" customHeight="1">
      <c r="A4" s="20" t="s">
        <v>164</v>
      </c>
      <c r="B4" s="42" t="s">
        <v>159</v>
      </c>
      <c r="C4" s="14">
        <f t="shared" ref="C4:C54" si="3">Q4/O4</f>
        <v>11.66830467</v>
      </c>
      <c r="D4" s="13" t="s">
        <v>156</v>
      </c>
      <c r="E4" s="14">
        <f t="shared" ref="E4:E54" si="4">R4/$O$6</f>
        <v>58.33906634</v>
      </c>
      <c r="F4" s="13" t="s">
        <v>165</v>
      </c>
      <c r="G4" s="21">
        <f t="shared" ref="G4:G6" si="5">S4/$O$6</f>
        <v>58.33906634</v>
      </c>
      <c r="H4" s="13" t="s">
        <v>161</v>
      </c>
      <c r="I4" s="16" t="b">
        <v>1</v>
      </c>
      <c r="J4" s="13">
        <v>1.0</v>
      </c>
      <c r="K4" s="13">
        <v>5.0</v>
      </c>
      <c r="L4" s="17">
        <f t="shared" si="1"/>
        <v>2.333660934</v>
      </c>
      <c r="M4" s="17">
        <f t="shared" si="2"/>
        <v>11.66781327</v>
      </c>
      <c r="N4" s="13" t="s">
        <v>25</v>
      </c>
      <c r="O4" s="13">
        <v>1628.0</v>
      </c>
      <c r="P4" s="13">
        <v>1542.0</v>
      </c>
      <c r="Q4" s="18">
        <v>18996.0</v>
      </c>
      <c r="R4" s="18">
        <v>94976.0</v>
      </c>
      <c r="S4" s="18">
        <v>94976.0</v>
      </c>
    </row>
    <row r="5" ht="22.5" customHeight="1">
      <c r="A5" s="20" t="s">
        <v>166</v>
      </c>
      <c r="B5" s="43" t="s">
        <v>167</v>
      </c>
      <c r="C5" s="14">
        <f t="shared" si="3"/>
        <v>12.00184275</v>
      </c>
      <c r="D5" s="13" t="s">
        <v>156</v>
      </c>
      <c r="E5" s="14">
        <f t="shared" si="4"/>
        <v>43.20454545</v>
      </c>
      <c r="F5" s="13"/>
      <c r="G5" s="21">
        <f t="shared" si="5"/>
        <v>43.20454545</v>
      </c>
      <c r="H5" s="13" t="s">
        <v>168</v>
      </c>
      <c r="I5" s="24"/>
      <c r="J5" s="13">
        <v>0.5</v>
      </c>
      <c r="K5" s="13">
        <v>9.0</v>
      </c>
      <c r="L5" s="17">
        <f t="shared" si="1"/>
        <v>1.333538084</v>
      </c>
      <c r="M5" s="17">
        <f t="shared" si="2"/>
        <v>4.800505051</v>
      </c>
      <c r="N5" s="13" t="s">
        <v>20</v>
      </c>
      <c r="O5" s="13">
        <v>1628.0</v>
      </c>
      <c r="P5" s="13">
        <v>1542.0</v>
      </c>
      <c r="Q5" s="18">
        <v>19539.0</v>
      </c>
      <c r="R5" s="18">
        <v>70337.0</v>
      </c>
      <c r="S5" s="18">
        <v>70337.0</v>
      </c>
    </row>
    <row r="6" ht="22.5" customHeight="1">
      <c r="A6" s="13" t="s">
        <v>169</v>
      </c>
      <c r="B6" s="13" t="s">
        <v>170</v>
      </c>
      <c r="C6" s="14">
        <f t="shared" si="3"/>
        <v>40.0036855</v>
      </c>
      <c r="D6" s="13"/>
      <c r="E6" s="14">
        <f t="shared" si="4"/>
        <v>40.0036855</v>
      </c>
      <c r="F6" s="29"/>
      <c r="G6" s="14">
        <f t="shared" si="5"/>
        <v>40.0036855</v>
      </c>
      <c r="H6" s="13"/>
      <c r="I6" s="16" t="b">
        <v>0</v>
      </c>
      <c r="J6" s="13">
        <v>1.0</v>
      </c>
      <c r="K6" s="13" t="s">
        <v>19</v>
      </c>
      <c r="L6" s="17"/>
      <c r="M6" s="17"/>
      <c r="N6" s="13" t="s">
        <v>20</v>
      </c>
      <c r="O6" s="13">
        <v>1628.0</v>
      </c>
      <c r="P6" s="13">
        <v>1542.0</v>
      </c>
      <c r="Q6" s="18">
        <v>65126.0</v>
      </c>
      <c r="R6" s="18">
        <v>65126.0</v>
      </c>
      <c r="S6" s="18">
        <v>65126.0</v>
      </c>
    </row>
    <row r="7" ht="22.5" customHeight="1">
      <c r="A7" s="13" t="s">
        <v>171</v>
      </c>
      <c r="B7" s="13" t="s">
        <v>170</v>
      </c>
      <c r="C7" s="14">
        <f t="shared" si="3"/>
        <v>19.2014742</v>
      </c>
      <c r="D7" s="13"/>
      <c r="E7" s="14">
        <f t="shared" si="4"/>
        <v>19.2014742</v>
      </c>
      <c r="F7" s="29"/>
      <c r="G7" s="17">
        <v>38.4</v>
      </c>
      <c r="H7" s="13" t="s">
        <v>172</v>
      </c>
      <c r="I7" s="16" t="b">
        <v>0</v>
      </c>
      <c r="J7" s="13">
        <v>0.7</v>
      </c>
      <c r="K7" s="13" t="s">
        <v>62</v>
      </c>
      <c r="L7" s="17"/>
      <c r="M7" s="17"/>
      <c r="N7" s="29"/>
      <c r="O7" s="13">
        <v>1628.0</v>
      </c>
      <c r="P7" s="13">
        <v>1542.0</v>
      </c>
      <c r="Q7" s="18">
        <v>31260.0</v>
      </c>
      <c r="R7" s="18">
        <v>31260.0</v>
      </c>
      <c r="S7" s="18">
        <v>31260.0</v>
      </c>
    </row>
    <row r="8" ht="22.5" customHeight="1">
      <c r="A8" s="20" t="s">
        <v>173</v>
      </c>
      <c r="B8" s="20" t="s">
        <v>174</v>
      </c>
      <c r="C8" s="14">
        <f t="shared" si="3"/>
        <v>1.75</v>
      </c>
      <c r="D8" s="13" t="s">
        <v>156</v>
      </c>
      <c r="E8" s="14">
        <f t="shared" si="4"/>
        <v>5.250614251</v>
      </c>
      <c r="F8" s="13" t="s">
        <v>175</v>
      </c>
      <c r="G8" s="21">
        <f t="shared" ref="G8:G54" si="6">S8/$O$6</f>
        <v>37.8034398</v>
      </c>
      <c r="H8" s="13" t="s">
        <v>176</v>
      </c>
      <c r="I8" s="16" t="b">
        <v>0</v>
      </c>
      <c r="J8" s="13">
        <v>1.0</v>
      </c>
      <c r="K8" s="13">
        <v>3.0</v>
      </c>
      <c r="L8" s="17">
        <f t="shared" ref="L8:L45" si="7">C8/K8</f>
        <v>0.5833333333</v>
      </c>
      <c r="M8" s="17">
        <f t="shared" ref="M8:M45" si="8">G8/K8</f>
        <v>12.6011466</v>
      </c>
      <c r="N8" s="13" t="s">
        <v>68</v>
      </c>
      <c r="O8" s="13">
        <v>1628.0</v>
      </c>
      <c r="P8" s="13">
        <v>1542.0</v>
      </c>
      <c r="Q8" s="18">
        <v>2849.0</v>
      </c>
      <c r="R8" s="18">
        <v>8548.0</v>
      </c>
      <c r="S8" s="13">
        <v>61544.0</v>
      </c>
    </row>
    <row r="9" ht="22.5" customHeight="1">
      <c r="A9" s="13" t="s">
        <v>177</v>
      </c>
      <c r="B9" s="42" t="s">
        <v>159</v>
      </c>
      <c r="C9" s="14">
        <f t="shared" si="3"/>
        <v>8.697788698</v>
      </c>
      <c r="D9" s="13" t="s">
        <v>156</v>
      </c>
      <c r="E9" s="14">
        <f t="shared" si="4"/>
        <v>36.2536855</v>
      </c>
      <c r="F9" s="13" t="s">
        <v>156</v>
      </c>
      <c r="G9" s="14">
        <f t="shared" si="6"/>
        <v>36.2536855</v>
      </c>
      <c r="H9" s="13" t="s">
        <v>178</v>
      </c>
      <c r="I9" s="24"/>
      <c r="J9" s="13">
        <v>0.4</v>
      </c>
      <c r="K9" s="13">
        <v>8.0</v>
      </c>
      <c r="L9" s="17">
        <f t="shared" si="7"/>
        <v>1.087223587</v>
      </c>
      <c r="M9" s="17">
        <f t="shared" si="8"/>
        <v>4.531710688</v>
      </c>
      <c r="N9" s="13" t="s">
        <v>20</v>
      </c>
      <c r="O9" s="13">
        <v>1628.0</v>
      </c>
      <c r="P9" s="13">
        <v>1542.0</v>
      </c>
      <c r="Q9" s="18">
        <v>14160.0</v>
      </c>
      <c r="R9" s="18">
        <v>59021.0</v>
      </c>
      <c r="S9" s="18">
        <v>59021.0</v>
      </c>
    </row>
    <row r="10" ht="22.5" customHeight="1">
      <c r="A10" s="20" t="s">
        <v>179</v>
      </c>
      <c r="B10" s="42" t="s">
        <v>159</v>
      </c>
      <c r="C10" s="14">
        <f t="shared" si="3"/>
        <v>7.001228501</v>
      </c>
      <c r="D10" s="13" t="s">
        <v>156</v>
      </c>
      <c r="E10" s="14">
        <f t="shared" si="4"/>
        <v>35.0036855</v>
      </c>
      <c r="F10" s="13" t="s">
        <v>180</v>
      </c>
      <c r="G10" s="21">
        <f t="shared" si="6"/>
        <v>35.0036855</v>
      </c>
      <c r="H10" s="13" t="s">
        <v>161</v>
      </c>
      <c r="I10" s="16" t="b">
        <v>1</v>
      </c>
      <c r="J10" s="13">
        <v>1.0</v>
      </c>
      <c r="K10" s="13">
        <v>5.0</v>
      </c>
      <c r="L10" s="17">
        <f t="shared" si="7"/>
        <v>1.4002457</v>
      </c>
      <c r="M10" s="17">
        <f t="shared" si="8"/>
        <v>7.000737101</v>
      </c>
      <c r="N10" s="13" t="s">
        <v>25</v>
      </c>
      <c r="O10" s="13">
        <v>1628.0</v>
      </c>
      <c r="P10" s="13">
        <v>1542.0</v>
      </c>
      <c r="Q10" s="18">
        <v>11398.0</v>
      </c>
      <c r="R10" s="18">
        <v>56986.0</v>
      </c>
      <c r="S10" s="18">
        <v>56986.0</v>
      </c>
    </row>
    <row r="11" ht="22.5" customHeight="1">
      <c r="A11" s="13" t="s">
        <v>181</v>
      </c>
      <c r="B11" s="42" t="s">
        <v>159</v>
      </c>
      <c r="C11" s="14">
        <f t="shared" si="3"/>
        <v>5.25</v>
      </c>
      <c r="D11" s="13" t="s">
        <v>156</v>
      </c>
      <c r="E11" s="14">
        <f t="shared" si="4"/>
        <v>26.25184275</v>
      </c>
      <c r="F11" s="13" t="s">
        <v>182</v>
      </c>
      <c r="G11" s="14">
        <f t="shared" si="6"/>
        <v>28.59213759</v>
      </c>
      <c r="H11" s="13" t="s">
        <v>183</v>
      </c>
      <c r="I11" s="16" t="b">
        <v>1</v>
      </c>
      <c r="J11" s="13">
        <v>0.5</v>
      </c>
      <c r="K11" s="13">
        <v>9.0</v>
      </c>
      <c r="L11" s="17">
        <f t="shared" si="7"/>
        <v>0.5833333333</v>
      </c>
      <c r="M11" s="17">
        <f t="shared" si="8"/>
        <v>3.176904177</v>
      </c>
      <c r="N11" s="13" t="s">
        <v>20</v>
      </c>
      <c r="O11" s="13">
        <v>1628.0</v>
      </c>
      <c r="P11" s="13">
        <v>1542.0</v>
      </c>
      <c r="Q11" s="18">
        <v>8547.0</v>
      </c>
      <c r="R11" s="18">
        <v>42738.0</v>
      </c>
      <c r="S11" s="13">
        <v>46548.0</v>
      </c>
    </row>
    <row r="12" ht="22.5" customHeight="1">
      <c r="A12" s="13" t="s">
        <v>184</v>
      </c>
      <c r="B12" s="15" t="s">
        <v>185</v>
      </c>
      <c r="C12" s="14">
        <f t="shared" si="3"/>
        <v>2.450859951</v>
      </c>
      <c r="D12" s="13" t="s">
        <v>156</v>
      </c>
      <c r="E12" s="14">
        <f t="shared" si="4"/>
        <v>8.575552826</v>
      </c>
      <c r="F12" s="13" t="s">
        <v>186</v>
      </c>
      <c r="G12" s="21">
        <f t="shared" si="6"/>
        <v>23.88943489</v>
      </c>
      <c r="H12" s="13" t="s">
        <v>187</v>
      </c>
      <c r="I12" s="24"/>
      <c r="J12" s="13">
        <v>0.5</v>
      </c>
      <c r="K12" s="13">
        <v>5.0</v>
      </c>
      <c r="L12" s="17">
        <f t="shared" si="7"/>
        <v>0.4901719902</v>
      </c>
      <c r="M12" s="17">
        <f t="shared" si="8"/>
        <v>4.777886978</v>
      </c>
      <c r="N12" s="13" t="s">
        <v>39</v>
      </c>
      <c r="O12" s="13">
        <v>1628.0</v>
      </c>
      <c r="P12" s="13">
        <v>1542.0</v>
      </c>
      <c r="Q12" s="18">
        <v>3990.0</v>
      </c>
      <c r="R12" s="18">
        <v>13961.0</v>
      </c>
      <c r="S12" s="13">
        <v>38892.0</v>
      </c>
    </row>
    <row r="13" ht="22.5" customHeight="1">
      <c r="A13" s="13" t="s">
        <v>188</v>
      </c>
      <c r="B13" s="44" t="s">
        <v>189</v>
      </c>
      <c r="C13" s="14">
        <f t="shared" si="3"/>
        <v>3.500614251</v>
      </c>
      <c r="D13" s="13" t="s">
        <v>156</v>
      </c>
      <c r="E13" s="14">
        <f t="shared" si="4"/>
        <v>10.5012285</v>
      </c>
      <c r="F13" s="13" t="s">
        <v>190</v>
      </c>
      <c r="G13" s="21">
        <f t="shared" si="6"/>
        <v>21.00184275</v>
      </c>
      <c r="H13" s="13" t="s">
        <v>191</v>
      </c>
      <c r="I13" s="16" t="b">
        <v>1</v>
      </c>
      <c r="J13" s="13">
        <v>1.0</v>
      </c>
      <c r="K13" s="13">
        <v>7.0</v>
      </c>
      <c r="L13" s="17">
        <f t="shared" si="7"/>
        <v>0.5000877501</v>
      </c>
      <c r="M13" s="17">
        <f t="shared" si="8"/>
        <v>3.00026325</v>
      </c>
      <c r="N13" s="13" t="s">
        <v>25</v>
      </c>
      <c r="O13" s="13">
        <v>1628.0</v>
      </c>
      <c r="P13" s="13">
        <v>1542.0</v>
      </c>
      <c r="Q13" s="18">
        <v>5699.0</v>
      </c>
      <c r="R13" s="18">
        <v>17096.0</v>
      </c>
      <c r="S13" s="13">
        <v>34191.0</v>
      </c>
      <c r="U13" s="27" t="s">
        <v>65</v>
      </c>
    </row>
    <row r="14" ht="22.5" customHeight="1">
      <c r="A14" s="13" t="s">
        <v>192</v>
      </c>
      <c r="B14" s="44" t="s">
        <v>189</v>
      </c>
      <c r="C14" s="14">
        <f t="shared" si="3"/>
        <v>3.501228501</v>
      </c>
      <c r="D14" s="13" t="s">
        <v>156</v>
      </c>
      <c r="E14" s="14">
        <f t="shared" si="4"/>
        <v>10.50061425</v>
      </c>
      <c r="F14" s="13" t="s">
        <v>193</v>
      </c>
      <c r="G14" s="21">
        <f t="shared" si="6"/>
        <v>21.0012285</v>
      </c>
      <c r="H14" s="13" t="s">
        <v>194</v>
      </c>
      <c r="I14" s="16" t="b">
        <v>0</v>
      </c>
      <c r="J14" s="13">
        <v>0.3</v>
      </c>
      <c r="K14" s="13">
        <v>6.0</v>
      </c>
      <c r="L14" s="17">
        <f t="shared" si="7"/>
        <v>0.5835380835</v>
      </c>
      <c r="M14" s="17">
        <f t="shared" si="8"/>
        <v>3.50020475</v>
      </c>
      <c r="N14" s="13" t="s">
        <v>25</v>
      </c>
      <c r="O14" s="13">
        <v>1628.0</v>
      </c>
      <c r="P14" s="13">
        <v>1542.0</v>
      </c>
      <c r="Q14" s="18">
        <v>5700.0</v>
      </c>
      <c r="R14" s="18">
        <v>17095.0</v>
      </c>
      <c r="S14" s="13">
        <v>34190.0</v>
      </c>
    </row>
    <row r="15" ht="21.0" customHeight="1">
      <c r="A15" s="13" t="s">
        <v>195</v>
      </c>
      <c r="B15" s="20" t="s">
        <v>174</v>
      </c>
      <c r="C15" s="14">
        <f t="shared" si="3"/>
        <v>4.875921376</v>
      </c>
      <c r="D15" s="13" t="s">
        <v>156</v>
      </c>
      <c r="E15" s="14">
        <f t="shared" si="4"/>
        <v>11.7014742</v>
      </c>
      <c r="F15" s="13" t="s">
        <v>196</v>
      </c>
      <c r="G15" s="21">
        <f t="shared" si="6"/>
        <v>17.5522113</v>
      </c>
      <c r="H15" s="13" t="s">
        <v>197</v>
      </c>
      <c r="I15" s="24"/>
      <c r="J15" s="13">
        <v>0.5</v>
      </c>
      <c r="K15" s="13">
        <v>8.0</v>
      </c>
      <c r="L15" s="17">
        <f t="shared" si="7"/>
        <v>0.609490172</v>
      </c>
      <c r="M15" s="17">
        <f t="shared" si="8"/>
        <v>2.194026413</v>
      </c>
      <c r="N15" s="13" t="s">
        <v>25</v>
      </c>
      <c r="O15" s="13">
        <v>1628.0</v>
      </c>
      <c r="P15" s="13">
        <v>1542.0</v>
      </c>
      <c r="Q15" s="18">
        <v>7938.0</v>
      </c>
      <c r="R15" s="18">
        <v>19050.0</v>
      </c>
      <c r="S15" s="13">
        <v>28575.0</v>
      </c>
      <c r="U15" s="28" t="s">
        <v>198</v>
      </c>
    </row>
    <row r="16" ht="21.0" customHeight="1">
      <c r="A16" s="20" t="s">
        <v>199</v>
      </c>
      <c r="B16" s="44" t="s">
        <v>189</v>
      </c>
      <c r="C16" s="14">
        <f t="shared" si="3"/>
        <v>5.834152334</v>
      </c>
      <c r="D16" s="13" t="s">
        <v>156</v>
      </c>
      <c r="E16" s="14">
        <f t="shared" si="4"/>
        <v>17.50184275</v>
      </c>
      <c r="F16" s="13" t="s">
        <v>156</v>
      </c>
      <c r="G16" s="21">
        <f t="shared" si="6"/>
        <v>17.50184275</v>
      </c>
      <c r="H16" s="13" t="s">
        <v>200</v>
      </c>
      <c r="I16" s="16" t="b">
        <v>1</v>
      </c>
      <c r="J16" s="13">
        <v>1.0</v>
      </c>
      <c r="K16" s="13">
        <v>8.0</v>
      </c>
      <c r="L16" s="17">
        <f t="shared" si="7"/>
        <v>0.7292690418</v>
      </c>
      <c r="M16" s="17">
        <f t="shared" si="8"/>
        <v>2.187730344</v>
      </c>
      <c r="N16" s="13" t="s">
        <v>25</v>
      </c>
      <c r="O16" s="13">
        <v>1628.0</v>
      </c>
      <c r="P16" s="13">
        <v>1542.0</v>
      </c>
      <c r="Q16" s="18">
        <v>9498.0</v>
      </c>
      <c r="R16" s="18">
        <v>28493.0</v>
      </c>
      <c r="S16" s="18">
        <v>28493.0</v>
      </c>
      <c r="W16" s="45"/>
    </row>
    <row r="17" ht="21.0" customHeight="1">
      <c r="A17" s="13" t="s">
        <v>201</v>
      </c>
      <c r="B17" s="44" t="s">
        <v>189</v>
      </c>
      <c r="C17" s="14">
        <f t="shared" si="3"/>
        <v>2.100737101</v>
      </c>
      <c r="D17" s="13" t="s">
        <v>156</v>
      </c>
      <c r="E17" s="14">
        <f t="shared" si="4"/>
        <v>7.560810811</v>
      </c>
      <c r="F17" s="13" t="s">
        <v>202</v>
      </c>
      <c r="G17" s="14">
        <f t="shared" si="6"/>
        <v>15.12162162</v>
      </c>
      <c r="H17" s="13"/>
      <c r="I17" s="16" t="b">
        <v>1</v>
      </c>
      <c r="J17" s="13">
        <v>0.5</v>
      </c>
      <c r="K17" s="13">
        <v>7.0</v>
      </c>
      <c r="L17" s="17">
        <f t="shared" si="7"/>
        <v>0.3001053001</v>
      </c>
      <c r="M17" s="17">
        <f t="shared" si="8"/>
        <v>2.16023166</v>
      </c>
      <c r="N17" s="13" t="s">
        <v>25</v>
      </c>
      <c r="O17" s="13">
        <v>1628.0</v>
      </c>
      <c r="P17" s="13">
        <v>1542.0</v>
      </c>
      <c r="Q17" s="18">
        <v>3420.0</v>
      </c>
      <c r="R17" s="18">
        <v>12309.0</v>
      </c>
      <c r="S17" s="13">
        <v>24618.0</v>
      </c>
      <c r="U17" s="28" t="s">
        <v>77</v>
      </c>
    </row>
    <row r="18" ht="21.0" customHeight="1">
      <c r="A18" s="13" t="s">
        <v>203</v>
      </c>
      <c r="B18" s="44" t="s">
        <v>189</v>
      </c>
      <c r="C18" s="14">
        <f t="shared" si="3"/>
        <v>4.667076167</v>
      </c>
      <c r="D18" s="13" t="s">
        <v>156</v>
      </c>
      <c r="E18" s="14">
        <f t="shared" si="4"/>
        <v>14.0012285</v>
      </c>
      <c r="F18" s="13" t="s">
        <v>156</v>
      </c>
      <c r="G18" s="14">
        <f t="shared" si="6"/>
        <v>14.0012285</v>
      </c>
      <c r="H18" s="13" t="s">
        <v>204</v>
      </c>
      <c r="I18" s="16" t="b">
        <v>0</v>
      </c>
      <c r="J18" s="13">
        <v>1.0</v>
      </c>
      <c r="K18" s="13">
        <v>6.0</v>
      </c>
      <c r="L18" s="17">
        <f t="shared" si="7"/>
        <v>0.7778460278</v>
      </c>
      <c r="M18" s="17">
        <f t="shared" si="8"/>
        <v>2.333538084</v>
      </c>
      <c r="N18" s="13" t="s">
        <v>25</v>
      </c>
      <c r="O18" s="13">
        <v>1628.0</v>
      </c>
      <c r="P18" s="13">
        <v>1542.0</v>
      </c>
      <c r="Q18" s="18">
        <v>7598.0</v>
      </c>
      <c r="R18" s="18">
        <v>22794.0</v>
      </c>
      <c r="S18" s="18">
        <v>22794.0</v>
      </c>
    </row>
    <row r="19" ht="21.0" customHeight="1">
      <c r="A19" s="13" t="s">
        <v>205</v>
      </c>
      <c r="B19" s="20" t="s">
        <v>174</v>
      </c>
      <c r="C19" s="14">
        <f t="shared" si="3"/>
        <v>3.901105651</v>
      </c>
      <c r="D19" s="13" t="s">
        <v>156</v>
      </c>
      <c r="E19" s="14">
        <f t="shared" si="4"/>
        <v>11.7014742</v>
      </c>
      <c r="F19" s="13" t="s">
        <v>156</v>
      </c>
      <c r="G19" s="14">
        <f t="shared" si="6"/>
        <v>11.7014742</v>
      </c>
      <c r="H19" s="13"/>
      <c r="I19" s="24"/>
      <c r="J19" s="13">
        <v>0.2</v>
      </c>
      <c r="K19" s="13">
        <v>7.0</v>
      </c>
      <c r="L19" s="17">
        <f t="shared" si="7"/>
        <v>0.5573008073</v>
      </c>
      <c r="M19" s="17">
        <f t="shared" si="8"/>
        <v>1.671639172</v>
      </c>
      <c r="N19" s="13" t="s">
        <v>25</v>
      </c>
      <c r="O19" s="13">
        <v>1628.0</v>
      </c>
      <c r="P19" s="13">
        <v>1542.0</v>
      </c>
      <c r="Q19" s="18">
        <v>6351.0</v>
      </c>
      <c r="R19" s="18">
        <v>19050.0</v>
      </c>
      <c r="S19" s="18">
        <v>19050.0</v>
      </c>
      <c r="U19" s="28" t="s">
        <v>81</v>
      </c>
    </row>
    <row r="20" ht="24.0" customHeight="1">
      <c r="A20" s="13" t="s">
        <v>206</v>
      </c>
      <c r="B20" s="42" t="s">
        <v>159</v>
      </c>
      <c r="C20" s="14">
        <f t="shared" si="3"/>
        <v>2.334152334</v>
      </c>
      <c r="D20" s="13" t="s">
        <v>156</v>
      </c>
      <c r="E20" s="14">
        <f t="shared" si="4"/>
        <v>11.66830467</v>
      </c>
      <c r="F20" s="13" t="s">
        <v>156</v>
      </c>
      <c r="G20" s="14">
        <f t="shared" si="6"/>
        <v>11.66830467</v>
      </c>
      <c r="H20" s="13" t="s">
        <v>161</v>
      </c>
      <c r="I20" s="16" t="b">
        <v>1</v>
      </c>
      <c r="J20" s="13">
        <v>1.0</v>
      </c>
      <c r="K20" s="13">
        <v>5.0</v>
      </c>
      <c r="L20" s="17">
        <f t="shared" si="7"/>
        <v>0.4668304668</v>
      </c>
      <c r="M20" s="17">
        <f t="shared" si="8"/>
        <v>2.333660934</v>
      </c>
      <c r="N20" s="13" t="s">
        <v>25</v>
      </c>
      <c r="O20" s="13">
        <v>1628.0</v>
      </c>
      <c r="P20" s="13">
        <v>1542.0</v>
      </c>
      <c r="Q20" s="18">
        <v>3800.0</v>
      </c>
      <c r="R20" s="18">
        <v>18996.0</v>
      </c>
      <c r="S20" s="18">
        <v>18996.0</v>
      </c>
    </row>
    <row r="21" ht="24.0" customHeight="1">
      <c r="A21" s="13" t="s">
        <v>207</v>
      </c>
      <c r="B21" s="43" t="s">
        <v>167</v>
      </c>
      <c r="C21" s="14">
        <f t="shared" si="3"/>
        <v>3.501228501</v>
      </c>
      <c r="D21" s="13" t="s">
        <v>156</v>
      </c>
      <c r="E21" s="14">
        <f t="shared" si="4"/>
        <v>10.50184275</v>
      </c>
      <c r="F21" s="13" t="s">
        <v>156</v>
      </c>
      <c r="G21" s="14">
        <f t="shared" si="6"/>
        <v>10.50184275</v>
      </c>
      <c r="H21" s="13" t="s">
        <v>208</v>
      </c>
      <c r="I21" s="16" t="b">
        <v>0</v>
      </c>
      <c r="J21" s="13">
        <v>0.5</v>
      </c>
      <c r="K21" s="13">
        <v>6.0</v>
      </c>
      <c r="L21" s="17">
        <f t="shared" si="7"/>
        <v>0.5835380835</v>
      </c>
      <c r="M21" s="17">
        <f t="shared" si="8"/>
        <v>1.750307125</v>
      </c>
      <c r="N21" s="13" t="s">
        <v>25</v>
      </c>
      <c r="O21" s="13">
        <v>1628.0</v>
      </c>
      <c r="P21" s="13">
        <v>1542.0</v>
      </c>
      <c r="Q21" s="18">
        <v>5700.0</v>
      </c>
      <c r="R21" s="18">
        <v>17097.0</v>
      </c>
      <c r="S21" s="18">
        <v>17097.0</v>
      </c>
    </row>
    <row r="22" ht="24.0" customHeight="1">
      <c r="A22" s="13" t="s">
        <v>209</v>
      </c>
      <c r="B22" s="20" t="s">
        <v>174</v>
      </c>
      <c r="C22" s="14">
        <f t="shared" si="3"/>
        <v>4.267199017</v>
      </c>
      <c r="D22" s="13" t="s">
        <v>156</v>
      </c>
      <c r="E22" s="14">
        <f t="shared" si="4"/>
        <v>10.50184275</v>
      </c>
      <c r="F22" s="13" t="s">
        <v>156</v>
      </c>
      <c r="G22" s="14">
        <f t="shared" si="6"/>
        <v>10.50184275</v>
      </c>
      <c r="H22" s="13" t="s">
        <v>210</v>
      </c>
      <c r="I22" s="16" t="b">
        <v>0</v>
      </c>
      <c r="J22" s="13">
        <v>0.5</v>
      </c>
      <c r="K22" s="13">
        <v>5.0</v>
      </c>
      <c r="L22" s="17">
        <f t="shared" si="7"/>
        <v>0.8534398034</v>
      </c>
      <c r="M22" s="17">
        <f t="shared" si="8"/>
        <v>2.10036855</v>
      </c>
      <c r="N22" s="13" t="s">
        <v>25</v>
      </c>
      <c r="O22" s="13">
        <v>1628.0</v>
      </c>
      <c r="P22" s="13">
        <v>1542.0</v>
      </c>
      <c r="Q22" s="18">
        <v>6947.0</v>
      </c>
      <c r="R22" s="18">
        <v>17097.0</v>
      </c>
      <c r="S22" s="18">
        <v>17097.0</v>
      </c>
    </row>
    <row r="23" ht="24.0" customHeight="1">
      <c r="A23" s="13" t="s">
        <v>211</v>
      </c>
      <c r="B23" s="43" t="s">
        <v>167</v>
      </c>
      <c r="C23" s="14">
        <f t="shared" si="3"/>
        <v>1.750614251</v>
      </c>
      <c r="D23" s="13" t="s">
        <v>156</v>
      </c>
      <c r="E23" s="14">
        <f t="shared" si="4"/>
        <v>5.25</v>
      </c>
      <c r="F23" s="13" t="s">
        <v>156</v>
      </c>
      <c r="G23" s="14">
        <f t="shared" si="6"/>
        <v>10.5</v>
      </c>
      <c r="H23" s="13" t="s">
        <v>212</v>
      </c>
      <c r="I23" s="16" t="b">
        <v>0</v>
      </c>
      <c r="J23" s="13">
        <v>0.5</v>
      </c>
      <c r="K23" s="13">
        <v>4.0</v>
      </c>
      <c r="L23" s="17">
        <f t="shared" si="7"/>
        <v>0.4376535627</v>
      </c>
      <c r="M23" s="17">
        <f t="shared" si="8"/>
        <v>2.625</v>
      </c>
      <c r="N23" s="13" t="s">
        <v>39</v>
      </c>
      <c r="O23" s="13">
        <v>1628.0</v>
      </c>
      <c r="P23" s="13">
        <v>1542.0</v>
      </c>
      <c r="Q23" s="18">
        <v>2850.0</v>
      </c>
      <c r="R23" s="18">
        <v>8547.0</v>
      </c>
      <c r="S23" s="13">
        <v>17094.0</v>
      </c>
    </row>
    <row r="24" ht="24.0" customHeight="1">
      <c r="A24" s="20" t="s">
        <v>213</v>
      </c>
      <c r="B24" s="44" t="s">
        <v>189</v>
      </c>
      <c r="C24" s="21">
        <f t="shared" si="3"/>
        <v>10.0012285</v>
      </c>
      <c r="D24" s="13"/>
      <c r="E24" s="14">
        <f t="shared" si="4"/>
        <v>10.0012285</v>
      </c>
      <c r="F24" s="13"/>
      <c r="G24" s="14">
        <f t="shared" si="6"/>
        <v>10.0012285</v>
      </c>
      <c r="H24" s="13" t="s">
        <v>214</v>
      </c>
      <c r="I24" s="16" t="b">
        <v>1</v>
      </c>
      <c r="J24" s="13">
        <v>0.5</v>
      </c>
      <c r="K24" s="13">
        <v>4.0</v>
      </c>
      <c r="L24" s="17">
        <f t="shared" si="7"/>
        <v>2.500307125</v>
      </c>
      <c r="M24" s="17">
        <f t="shared" si="8"/>
        <v>2.500307125</v>
      </c>
      <c r="N24" s="13" t="s">
        <v>39</v>
      </c>
      <c r="O24" s="13">
        <v>1628.0</v>
      </c>
      <c r="P24" s="13">
        <v>1542.0</v>
      </c>
      <c r="Q24" s="18">
        <v>16282.0</v>
      </c>
      <c r="R24" s="18">
        <v>16282.0</v>
      </c>
      <c r="S24" s="18">
        <v>16282.0</v>
      </c>
    </row>
    <row r="25" ht="24.0" customHeight="1">
      <c r="A25" s="13" t="s">
        <v>215</v>
      </c>
      <c r="B25" s="44" t="s">
        <v>189</v>
      </c>
      <c r="C25" s="14">
        <f t="shared" si="3"/>
        <v>3.562653563</v>
      </c>
      <c r="D25" s="13" t="s">
        <v>216</v>
      </c>
      <c r="E25" s="14">
        <f t="shared" si="4"/>
        <v>9.988943489</v>
      </c>
      <c r="F25" s="13" t="s">
        <v>217</v>
      </c>
      <c r="G25" s="14">
        <f t="shared" si="6"/>
        <v>9.988943489</v>
      </c>
      <c r="H25" s="13" t="s">
        <v>218</v>
      </c>
      <c r="I25" s="16" t="b">
        <v>1</v>
      </c>
      <c r="J25" s="13">
        <v>0.5</v>
      </c>
      <c r="K25" s="13">
        <v>3.0</v>
      </c>
      <c r="L25" s="17">
        <f t="shared" si="7"/>
        <v>1.187551188</v>
      </c>
      <c r="M25" s="17">
        <f t="shared" si="8"/>
        <v>3.32964783</v>
      </c>
      <c r="N25" s="13" t="s">
        <v>39</v>
      </c>
      <c r="O25" s="13">
        <v>1628.0</v>
      </c>
      <c r="P25" s="13">
        <v>1542.0</v>
      </c>
      <c r="Q25" s="18">
        <v>5800.0</v>
      </c>
      <c r="R25" s="18">
        <v>16262.0</v>
      </c>
      <c r="S25" s="13">
        <v>16262.0</v>
      </c>
    </row>
    <row r="26" ht="24.0" customHeight="1">
      <c r="A26" s="13" t="s">
        <v>219</v>
      </c>
      <c r="B26" s="43" t="s">
        <v>167</v>
      </c>
      <c r="C26" s="14">
        <f t="shared" si="3"/>
        <v>2.800982801</v>
      </c>
      <c r="D26" s="13" t="s">
        <v>156</v>
      </c>
      <c r="E26" s="14">
        <f t="shared" si="4"/>
        <v>9.560810811</v>
      </c>
      <c r="F26" s="13" t="s">
        <v>156</v>
      </c>
      <c r="G26" s="14">
        <f t="shared" si="6"/>
        <v>9.560810811</v>
      </c>
      <c r="H26" s="13" t="s">
        <v>210</v>
      </c>
      <c r="I26" s="24"/>
      <c r="J26" s="13">
        <v>0.5</v>
      </c>
      <c r="K26" s="13">
        <v>4.0</v>
      </c>
      <c r="L26" s="17">
        <f t="shared" si="7"/>
        <v>0.7002457002</v>
      </c>
      <c r="M26" s="17">
        <f t="shared" si="8"/>
        <v>2.390202703</v>
      </c>
      <c r="N26" s="13" t="s">
        <v>39</v>
      </c>
      <c r="O26" s="13">
        <v>1628.0</v>
      </c>
      <c r="P26" s="13">
        <v>1542.0</v>
      </c>
      <c r="Q26" s="18">
        <v>4560.0</v>
      </c>
      <c r="R26" s="18">
        <v>15565.0</v>
      </c>
      <c r="S26" s="18">
        <v>15565.0</v>
      </c>
    </row>
    <row r="27" ht="24.0" customHeight="1">
      <c r="A27" s="13" t="s">
        <v>220</v>
      </c>
      <c r="B27" s="15" t="s">
        <v>185</v>
      </c>
      <c r="C27" s="14">
        <f t="shared" si="3"/>
        <v>3</v>
      </c>
      <c r="D27" s="13" t="s">
        <v>156</v>
      </c>
      <c r="E27" s="14">
        <f t="shared" si="4"/>
        <v>9.001228501</v>
      </c>
      <c r="F27" s="13" t="s">
        <v>156</v>
      </c>
      <c r="G27" s="14">
        <f t="shared" si="6"/>
        <v>9.001228501</v>
      </c>
      <c r="H27" s="13" t="s">
        <v>221</v>
      </c>
      <c r="I27" s="16" t="b">
        <v>0</v>
      </c>
      <c r="J27" s="13">
        <v>0.7</v>
      </c>
      <c r="K27" s="13">
        <v>4.0</v>
      </c>
      <c r="L27" s="17">
        <f t="shared" si="7"/>
        <v>0.75</v>
      </c>
      <c r="M27" s="17">
        <f t="shared" si="8"/>
        <v>2.250307125</v>
      </c>
      <c r="N27" s="13" t="s">
        <v>39</v>
      </c>
      <c r="O27" s="13">
        <v>1628.0</v>
      </c>
      <c r="P27" s="13">
        <v>1542.0</v>
      </c>
      <c r="Q27" s="18">
        <v>4884.0</v>
      </c>
      <c r="R27" s="18">
        <v>14654.0</v>
      </c>
      <c r="S27" s="18">
        <v>14654.0</v>
      </c>
    </row>
    <row r="28" ht="24.0" customHeight="1">
      <c r="A28" s="13" t="s">
        <v>222</v>
      </c>
      <c r="B28" s="20" t="s">
        <v>174</v>
      </c>
      <c r="C28" s="14">
        <f t="shared" si="3"/>
        <v>2.917076167</v>
      </c>
      <c r="D28" s="13" t="s">
        <v>156</v>
      </c>
      <c r="E28" s="14">
        <f t="shared" si="4"/>
        <v>8.750614251</v>
      </c>
      <c r="F28" s="13" t="s">
        <v>156</v>
      </c>
      <c r="G28" s="14">
        <f t="shared" si="6"/>
        <v>8.750614251</v>
      </c>
      <c r="H28" s="13" t="s">
        <v>223</v>
      </c>
      <c r="I28" s="16" t="b">
        <v>1</v>
      </c>
      <c r="J28" s="13">
        <v>1.0</v>
      </c>
      <c r="K28" s="13">
        <v>6.0</v>
      </c>
      <c r="L28" s="17">
        <f t="shared" si="7"/>
        <v>0.4861793612</v>
      </c>
      <c r="M28" s="17">
        <f t="shared" si="8"/>
        <v>1.458435708</v>
      </c>
      <c r="N28" s="13" t="s">
        <v>39</v>
      </c>
      <c r="O28" s="13">
        <v>1628.0</v>
      </c>
      <c r="P28" s="13">
        <v>1542.0</v>
      </c>
      <c r="Q28" s="18">
        <v>4749.0</v>
      </c>
      <c r="R28" s="18">
        <v>14246.0</v>
      </c>
      <c r="S28" s="18">
        <v>14246.0</v>
      </c>
    </row>
    <row r="29" ht="24.0" customHeight="1">
      <c r="A29" s="13" t="s">
        <v>224</v>
      </c>
      <c r="B29" s="15" t="s">
        <v>185</v>
      </c>
      <c r="C29" s="14">
        <f t="shared" si="3"/>
        <v>2.800982801</v>
      </c>
      <c r="D29" s="13" t="s">
        <v>156</v>
      </c>
      <c r="E29" s="14">
        <f t="shared" si="4"/>
        <v>8.401105651</v>
      </c>
      <c r="F29" s="13" t="s">
        <v>156</v>
      </c>
      <c r="G29" s="14">
        <f t="shared" si="6"/>
        <v>8.401105651</v>
      </c>
      <c r="H29" s="13" t="s">
        <v>221</v>
      </c>
      <c r="I29" s="16" t="b">
        <v>1</v>
      </c>
      <c r="J29" s="13">
        <v>0.4</v>
      </c>
      <c r="K29" s="13">
        <v>7.0</v>
      </c>
      <c r="L29" s="17">
        <f t="shared" si="7"/>
        <v>0.4001404001</v>
      </c>
      <c r="M29" s="17">
        <f t="shared" si="8"/>
        <v>1.20015795</v>
      </c>
      <c r="N29" s="13" t="s">
        <v>25</v>
      </c>
      <c r="O29" s="13">
        <v>1628.0</v>
      </c>
      <c r="P29" s="13">
        <v>1542.0</v>
      </c>
      <c r="Q29" s="18">
        <v>4560.0</v>
      </c>
      <c r="R29" s="18">
        <v>13677.0</v>
      </c>
      <c r="S29" s="18">
        <v>13677.0</v>
      </c>
    </row>
    <row r="30" ht="24.0" customHeight="1">
      <c r="A30" s="13" t="s">
        <v>225</v>
      </c>
      <c r="B30" s="15" t="s">
        <v>185</v>
      </c>
      <c r="C30" s="14">
        <f t="shared" si="3"/>
        <v>4.375921376</v>
      </c>
      <c r="D30" s="13" t="s">
        <v>226</v>
      </c>
      <c r="E30" s="14">
        <f t="shared" si="4"/>
        <v>6.456388206</v>
      </c>
      <c r="F30" s="13" t="s">
        <v>227</v>
      </c>
      <c r="G30" s="14">
        <f t="shared" si="6"/>
        <v>7.46990172</v>
      </c>
      <c r="H30" s="13" t="s">
        <v>228</v>
      </c>
      <c r="I30" s="16" t="b">
        <v>1</v>
      </c>
      <c r="J30" s="13">
        <v>0.7</v>
      </c>
      <c r="K30" s="13">
        <v>7.0</v>
      </c>
      <c r="L30" s="17">
        <f t="shared" si="7"/>
        <v>0.6251316251</v>
      </c>
      <c r="M30" s="17">
        <f t="shared" si="8"/>
        <v>1.067128817</v>
      </c>
      <c r="N30" s="13" t="s">
        <v>25</v>
      </c>
      <c r="O30" s="13">
        <v>1628.0</v>
      </c>
      <c r="P30" s="13">
        <v>1542.0</v>
      </c>
      <c r="Q30" s="18">
        <v>7124.0</v>
      </c>
      <c r="R30" s="18">
        <f>3387+7124</f>
        <v>10511</v>
      </c>
      <c r="S30" s="41">
        <f>7124+5037</f>
        <v>12161</v>
      </c>
    </row>
    <row r="31" ht="24.0" customHeight="1">
      <c r="A31" s="13" t="s">
        <v>229</v>
      </c>
      <c r="B31" s="20" t="s">
        <v>174</v>
      </c>
      <c r="C31" s="14">
        <f t="shared" si="3"/>
        <v>1.9502457</v>
      </c>
      <c r="D31" s="13" t="s">
        <v>156</v>
      </c>
      <c r="E31" s="14">
        <f t="shared" si="4"/>
        <v>5.850737101</v>
      </c>
      <c r="F31" s="13" t="s">
        <v>230</v>
      </c>
      <c r="G31" s="14">
        <f t="shared" si="6"/>
        <v>7.410933661</v>
      </c>
      <c r="H31" s="13" t="s">
        <v>231</v>
      </c>
      <c r="I31" s="24"/>
      <c r="J31" s="13">
        <v>0.7</v>
      </c>
      <c r="K31" s="13">
        <v>4.0</v>
      </c>
      <c r="L31" s="17">
        <f t="shared" si="7"/>
        <v>0.4875614251</v>
      </c>
      <c r="M31" s="17">
        <f t="shared" si="8"/>
        <v>1.852733415</v>
      </c>
      <c r="N31" s="13" t="s">
        <v>39</v>
      </c>
      <c r="O31" s="13">
        <v>1628.0</v>
      </c>
      <c r="P31" s="13">
        <v>1542.0</v>
      </c>
      <c r="Q31" s="18">
        <v>3175.0</v>
      </c>
      <c r="R31" s="18">
        <v>9525.0</v>
      </c>
      <c r="S31" s="18">
        <f>3810/1.5+9525</f>
        <v>12065</v>
      </c>
    </row>
    <row r="32" ht="24.0" customHeight="1">
      <c r="A32" s="13" t="s">
        <v>232</v>
      </c>
      <c r="B32" s="43" t="s">
        <v>167</v>
      </c>
      <c r="C32" s="14">
        <f t="shared" si="3"/>
        <v>2.401105651</v>
      </c>
      <c r="D32" s="13" t="s">
        <v>156</v>
      </c>
      <c r="E32" s="14">
        <f t="shared" si="4"/>
        <v>7.201474201</v>
      </c>
      <c r="F32" s="13" t="s">
        <v>156</v>
      </c>
      <c r="G32" s="14">
        <f t="shared" si="6"/>
        <v>7.201474201</v>
      </c>
      <c r="H32" s="13" t="s">
        <v>233</v>
      </c>
      <c r="I32" s="24"/>
      <c r="J32" s="13">
        <v>0.5</v>
      </c>
      <c r="K32" s="13">
        <v>5.0</v>
      </c>
      <c r="L32" s="17">
        <f t="shared" si="7"/>
        <v>0.4802211302</v>
      </c>
      <c r="M32" s="17">
        <f t="shared" si="8"/>
        <v>1.44029484</v>
      </c>
      <c r="N32" s="13" t="s">
        <v>39</v>
      </c>
      <c r="O32" s="13">
        <v>1628.0</v>
      </c>
      <c r="P32" s="13">
        <v>1542.0</v>
      </c>
      <c r="Q32" s="18">
        <v>3909.0</v>
      </c>
      <c r="R32" s="18">
        <v>11724.0</v>
      </c>
      <c r="S32" s="18">
        <v>11724.0</v>
      </c>
    </row>
    <row r="33" ht="24.0" customHeight="1">
      <c r="A33" s="13" t="s">
        <v>234</v>
      </c>
      <c r="B33" s="44" t="s">
        <v>189</v>
      </c>
      <c r="C33" s="14">
        <f t="shared" si="3"/>
        <v>2.334152334</v>
      </c>
      <c r="D33" s="13" t="s">
        <v>156</v>
      </c>
      <c r="E33" s="14">
        <f t="shared" si="4"/>
        <v>7</v>
      </c>
      <c r="F33" s="13" t="s">
        <v>156</v>
      </c>
      <c r="G33" s="14">
        <f t="shared" si="6"/>
        <v>7</v>
      </c>
      <c r="H33" s="13" t="s">
        <v>235</v>
      </c>
      <c r="I33" s="16" t="b">
        <v>1</v>
      </c>
      <c r="J33" s="13">
        <v>0.4</v>
      </c>
      <c r="K33" s="13">
        <v>5.0</v>
      </c>
      <c r="L33" s="17">
        <f t="shared" si="7"/>
        <v>0.4668304668</v>
      </c>
      <c r="M33" s="17">
        <f t="shared" si="8"/>
        <v>1.4</v>
      </c>
      <c r="N33" s="13" t="s">
        <v>39</v>
      </c>
      <c r="O33" s="13">
        <v>1628.0</v>
      </c>
      <c r="P33" s="13">
        <v>1542.0</v>
      </c>
      <c r="Q33" s="18">
        <v>3800.0</v>
      </c>
      <c r="R33" s="18">
        <v>11396.0</v>
      </c>
      <c r="S33" s="18">
        <v>11396.0</v>
      </c>
    </row>
    <row r="34" ht="24.0" customHeight="1">
      <c r="A34" s="13" t="s">
        <v>236</v>
      </c>
      <c r="B34" s="44" t="s">
        <v>189</v>
      </c>
      <c r="C34" s="14">
        <f t="shared" si="3"/>
        <v>2.100737101</v>
      </c>
      <c r="D34" s="13" t="s">
        <v>156</v>
      </c>
      <c r="E34" s="14">
        <f t="shared" si="4"/>
        <v>6.2997543</v>
      </c>
      <c r="F34" s="13" t="s">
        <v>156</v>
      </c>
      <c r="G34" s="14">
        <f t="shared" si="6"/>
        <v>6.2997543</v>
      </c>
      <c r="H34" s="13"/>
      <c r="I34" s="16" t="b">
        <v>0</v>
      </c>
      <c r="J34" s="13">
        <v>1.5</v>
      </c>
      <c r="K34" s="13">
        <v>4.0</v>
      </c>
      <c r="L34" s="17">
        <f t="shared" si="7"/>
        <v>0.5251842752</v>
      </c>
      <c r="M34" s="17">
        <f t="shared" si="8"/>
        <v>1.574938575</v>
      </c>
      <c r="N34" s="13" t="s">
        <v>39</v>
      </c>
      <c r="O34" s="13">
        <v>1628.0</v>
      </c>
      <c r="P34" s="13">
        <v>1542.0</v>
      </c>
      <c r="Q34" s="18">
        <v>3420.0</v>
      </c>
      <c r="R34" s="18">
        <v>10256.0</v>
      </c>
      <c r="S34" s="18">
        <v>10256.0</v>
      </c>
    </row>
    <row r="35" ht="24.0" customHeight="1">
      <c r="A35" s="13" t="s">
        <v>237</v>
      </c>
      <c r="B35" s="20" t="s">
        <v>174</v>
      </c>
      <c r="C35" s="14">
        <f t="shared" si="3"/>
        <v>2.041769042</v>
      </c>
      <c r="D35" s="13" t="s">
        <v>156</v>
      </c>
      <c r="E35" s="14">
        <f t="shared" si="4"/>
        <v>6.125307125</v>
      </c>
      <c r="F35" s="13" t="s">
        <v>156</v>
      </c>
      <c r="G35" s="14">
        <f t="shared" si="6"/>
        <v>6.125307125</v>
      </c>
      <c r="H35" s="13" t="s">
        <v>204</v>
      </c>
      <c r="I35" s="16" t="b">
        <v>1</v>
      </c>
      <c r="J35" s="13">
        <v>1.0</v>
      </c>
      <c r="K35" s="13">
        <v>5.0</v>
      </c>
      <c r="L35" s="17">
        <f t="shared" si="7"/>
        <v>0.4083538084</v>
      </c>
      <c r="M35" s="17">
        <f t="shared" si="8"/>
        <v>1.225061425</v>
      </c>
      <c r="N35" s="13" t="s">
        <v>39</v>
      </c>
      <c r="O35" s="13">
        <v>1628.0</v>
      </c>
      <c r="P35" s="13">
        <v>1542.0</v>
      </c>
      <c r="Q35" s="18">
        <v>3324.0</v>
      </c>
      <c r="R35" s="18">
        <v>9972.0</v>
      </c>
      <c r="S35" s="18">
        <v>9972.0</v>
      </c>
    </row>
    <row r="36" ht="24.0" customHeight="1">
      <c r="A36" s="13" t="s">
        <v>238</v>
      </c>
      <c r="B36" s="44" t="s">
        <v>189</v>
      </c>
      <c r="C36" s="14">
        <f t="shared" si="3"/>
        <v>3.562653563</v>
      </c>
      <c r="D36" s="13" t="s">
        <v>156</v>
      </c>
      <c r="E36" s="40">
        <f t="shared" si="4"/>
        <v>6.001228501</v>
      </c>
      <c r="F36" s="13" t="s">
        <v>156</v>
      </c>
      <c r="G36" s="14">
        <f t="shared" si="6"/>
        <v>6.001228501</v>
      </c>
      <c r="H36" s="13" t="s">
        <v>239</v>
      </c>
      <c r="I36" s="24"/>
      <c r="J36" s="13">
        <v>0.3</v>
      </c>
      <c r="K36" s="13">
        <v>6.0</v>
      </c>
      <c r="L36" s="17">
        <f t="shared" si="7"/>
        <v>0.5937755938</v>
      </c>
      <c r="M36" s="17">
        <f t="shared" si="8"/>
        <v>1.00020475</v>
      </c>
      <c r="N36" s="13" t="s">
        <v>25</v>
      </c>
      <c r="O36" s="13">
        <v>1628.0</v>
      </c>
      <c r="P36" s="13">
        <v>1542.0</v>
      </c>
      <c r="Q36" s="18">
        <v>5800.0</v>
      </c>
      <c r="R36" s="18">
        <v>9770.0</v>
      </c>
      <c r="S36" s="18">
        <v>9770.0</v>
      </c>
    </row>
    <row r="37" ht="24.0" customHeight="1">
      <c r="A37" s="13" t="s">
        <v>240</v>
      </c>
      <c r="B37" s="20" t="s">
        <v>174</v>
      </c>
      <c r="C37" s="14">
        <f t="shared" si="3"/>
        <v>2.250614251</v>
      </c>
      <c r="D37" s="13" t="s">
        <v>156</v>
      </c>
      <c r="E37" s="14">
        <f t="shared" si="4"/>
        <v>5.678746929</v>
      </c>
      <c r="F37" s="13" t="s">
        <v>156</v>
      </c>
      <c r="G37" s="14">
        <f t="shared" si="6"/>
        <v>5.678746929</v>
      </c>
      <c r="H37" s="13" t="s">
        <v>221</v>
      </c>
      <c r="I37" s="24"/>
      <c r="J37" s="13">
        <v>0.4</v>
      </c>
      <c r="K37" s="13">
        <v>3.0</v>
      </c>
      <c r="L37" s="17">
        <f t="shared" si="7"/>
        <v>0.7502047502</v>
      </c>
      <c r="M37" s="17">
        <f t="shared" si="8"/>
        <v>1.892915643</v>
      </c>
      <c r="N37" s="13" t="s">
        <v>68</v>
      </c>
      <c r="O37" s="13">
        <v>1628.0</v>
      </c>
      <c r="P37" s="13">
        <v>1542.0</v>
      </c>
      <c r="Q37" s="18">
        <v>3664.0</v>
      </c>
      <c r="R37" s="18">
        <v>9245.0</v>
      </c>
      <c r="S37" s="18">
        <v>9245.0</v>
      </c>
    </row>
    <row r="38" ht="24.0" customHeight="1">
      <c r="A38" s="13" t="s">
        <v>241</v>
      </c>
      <c r="B38" s="20" t="s">
        <v>174</v>
      </c>
      <c r="C38" s="14">
        <f t="shared" si="3"/>
        <v>2.15970516</v>
      </c>
      <c r="D38" s="13" t="s">
        <v>156</v>
      </c>
      <c r="E38" s="14">
        <f t="shared" si="4"/>
        <v>5.401105651</v>
      </c>
      <c r="F38" s="13" t="s">
        <v>156</v>
      </c>
      <c r="G38" s="14">
        <f t="shared" si="6"/>
        <v>5.401105651</v>
      </c>
      <c r="H38" s="13" t="s">
        <v>242</v>
      </c>
      <c r="I38" s="16" t="b">
        <v>1</v>
      </c>
      <c r="J38" s="13">
        <v>0.5</v>
      </c>
      <c r="K38" s="13">
        <v>6.0</v>
      </c>
      <c r="L38" s="17">
        <f t="shared" si="7"/>
        <v>0.35995086</v>
      </c>
      <c r="M38" s="17">
        <f t="shared" si="8"/>
        <v>0.9001842752</v>
      </c>
      <c r="N38" s="13" t="s">
        <v>25</v>
      </c>
      <c r="O38" s="13">
        <v>1628.0</v>
      </c>
      <c r="P38" s="13">
        <v>1542.0</v>
      </c>
      <c r="Q38" s="18">
        <v>3516.0</v>
      </c>
      <c r="R38" s="18">
        <v>8793.0</v>
      </c>
      <c r="S38" s="18">
        <v>8793.0</v>
      </c>
    </row>
    <row r="39" ht="24.0" customHeight="1">
      <c r="A39" s="13" t="s">
        <v>243</v>
      </c>
      <c r="B39" s="15" t="s">
        <v>185</v>
      </c>
      <c r="C39" s="14">
        <f t="shared" si="3"/>
        <v>1.80036855</v>
      </c>
      <c r="D39" s="13" t="s">
        <v>156</v>
      </c>
      <c r="E39" s="14">
        <f t="shared" si="4"/>
        <v>5.401105651</v>
      </c>
      <c r="F39" s="13" t="s">
        <v>156</v>
      </c>
      <c r="G39" s="14">
        <f t="shared" si="6"/>
        <v>5.401105651</v>
      </c>
      <c r="H39" s="13" t="s">
        <v>244</v>
      </c>
      <c r="I39" s="16" t="b">
        <v>0</v>
      </c>
      <c r="J39" s="13">
        <v>0.5</v>
      </c>
      <c r="K39" s="13">
        <v>3.0</v>
      </c>
      <c r="L39" s="17">
        <f t="shared" si="7"/>
        <v>0.6001228501</v>
      </c>
      <c r="M39" s="17">
        <f t="shared" si="8"/>
        <v>1.80036855</v>
      </c>
      <c r="N39" s="13" t="s">
        <v>68</v>
      </c>
      <c r="O39" s="13">
        <v>1628.0</v>
      </c>
      <c r="P39" s="13">
        <v>1542.0</v>
      </c>
      <c r="Q39" s="18">
        <v>2931.0</v>
      </c>
      <c r="R39" s="18">
        <v>8793.0</v>
      </c>
      <c r="S39" s="18">
        <v>8793.0</v>
      </c>
    </row>
    <row r="40" ht="24.0" customHeight="1">
      <c r="A40" s="13" t="s">
        <v>245</v>
      </c>
      <c r="B40" s="15" t="s">
        <v>185</v>
      </c>
      <c r="C40" s="14">
        <f t="shared" si="3"/>
        <v>2.15970516</v>
      </c>
      <c r="D40" s="13" t="s">
        <v>156</v>
      </c>
      <c r="E40" s="14">
        <f t="shared" si="4"/>
        <v>5.399262899</v>
      </c>
      <c r="F40" s="13" t="s">
        <v>156</v>
      </c>
      <c r="G40" s="14">
        <f t="shared" si="6"/>
        <v>5.399262899</v>
      </c>
      <c r="H40" s="13" t="s">
        <v>246</v>
      </c>
      <c r="I40" s="24"/>
      <c r="J40" s="13">
        <v>0.2</v>
      </c>
      <c r="K40" s="13">
        <v>3.0</v>
      </c>
      <c r="L40" s="17">
        <f t="shared" si="7"/>
        <v>0.7199017199</v>
      </c>
      <c r="M40" s="17">
        <f t="shared" si="8"/>
        <v>1.7997543</v>
      </c>
      <c r="N40" s="13" t="s">
        <v>68</v>
      </c>
      <c r="O40" s="13">
        <v>1628.0</v>
      </c>
      <c r="P40" s="13">
        <v>1542.0</v>
      </c>
      <c r="Q40" s="18">
        <v>3516.0</v>
      </c>
      <c r="R40" s="18">
        <v>8790.0</v>
      </c>
      <c r="S40" s="18">
        <v>8790.0</v>
      </c>
    </row>
    <row r="41" ht="24.0" customHeight="1">
      <c r="A41" s="13" t="s">
        <v>247</v>
      </c>
      <c r="B41" s="44" t="s">
        <v>189</v>
      </c>
      <c r="C41" s="14">
        <f t="shared" si="3"/>
        <v>1.5995086</v>
      </c>
      <c r="D41" s="13" t="s">
        <v>156</v>
      </c>
      <c r="E41" s="14">
        <f t="shared" si="4"/>
        <v>4.800982801</v>
      </c>
      <c r="F41" s="13" t="s">
        <v>156</v>
      </c>
      <c r="G41" s="14">
        <f t="shared" si="6"/>
        <v>4.800982801</v>
      </c>
      <c r="H41" s="13" t="s">
        <v>210</v>
      </c>
      <c r="I41" s="16" t="b">
        <v>0</v>
      </c>
      <c r="J41" s="13">
        <v>0.4</v>
      </c>
      <c r="K41" s="13">
        <v>3.0</v>
      </c>
      <c r="L41" s="17">
        <f t="shared" si="7"/>
        <v>0.5331695332</v>
      </c>
      <c r="M41" s="17">
        <f t="shared" si="8"/>
        <v>1.6003276</v>
      </c>
      <c r="N41" s="13" t="s">
        <v>39</v>
      </c>
      <c r="O41" s="13">
        <v>1628.0</v>
      </c>
      <c r="P41" s="13">
        <v>1542.0</v>
      </c>
      <c r="Q41" s="18">
        <v>2604.0</v>
      </c>
      <c r="R41" s="18">
        <v>7816.0</v>
      </c>
      <c r="S41" s="18">
        <v>7816.0</v>
      </c>
    </row>
    <row r="42" ht="24.0" customHeight="1">
      <c r="A42" s="13" t="s">
        <v>248</v>
      </c>
      <c r="B42" s="15" t="s">
        <v>185</v>
      </c>
      <c r="C42" s="14">
        <f t="shared" si="3"/>
        <v>1.39987715</v>
      </c>
      <c r="D42" s="13" t="s">
        <v>156</v>
      </c>
      <c r="E42" s="14">
        <f t="shared" si="4"/>
        <v>4.2002457</v>
      </c>
      <c r="F42" s="13" t="s">
        <v>156</v>
      </c>
      <c r="G42" s="14">
        <f t="shared" si="6"/>
        <v>4.2002457</v>
      </c>
      <c r="H42" s="13" t="s">
        <v>242</v>
      </c>
      <c r="I42" s="16" t="b">
        <v>0</v>
      </c>
      <c r="J42" s="13">
        <v>1.0</v>
      </c>
      <c r="K42" s="13">
        <v>2.0</v>
      </c>
      <c r="L42" s="17">
        <f t="shared" si="7"/>
        <v>0.6999385749</v>
      </c>
      <c r="M42" s="17">
        <f t="shared" si="8"/>
        <v>2.10012285</v>
      </c>
      <c r="N42" s="13" t="s">
        <v>68</v>
      </c>
      <c r="O42" s="13">
        <v>1628.0</v>
      </c>
      <c r="P42" s="13">
        <v>1542.0</v>
      </c>
      <c r="Q42" s="18">
        <v>2279.0</v>
      </c>
      <c r="R42" s="18">
        <v>6838.0</v>
      </c>
      <c r="S42" s="18">
        <v>6838.0</v>
      </c>
    </row>
    <row r="43" ht="24.0" customHeight="1">
      <c r="A43" s="13" t="s">
        <v>249</v>
      </c>
      <c r="B43" s="44" t="s">
        <v>189</v>
      </c>
      <c r="C43" s="14">
        <f t="shared" si="3"/>
        <v>2.738329238</v>
      </c>
      <c r="D43" s="13"/>
      <c r="E43" s="14">
        <f t="shared" si="4"/>
        <v>2.738329238</v>
      </c>
      <c r="F43" s="29"/>
      <c r="G43" s="14">
        <f t="shared" si="6"/>
        <v>2.738329238</v>
      </c>
      <c r="H43" s="13" t="s">
        <v>250</v>
      </c>
      <c r="I43" s="24"/>
      <c r="J43" s="13">
        <v>0.7</v>
      </c>
      <c r="K43" s="13">
        <v>5.0</v>
      </c>
      <c r="L43" s="17">
        <f t="shared" si="7"/>
        <v>0.5476658477</v>
      </c>
      <c r="M43" s="17">
        <f t="shared" si="8"/>
        <v>0.5476658477</v>
      </c>
      <c r="N43" s="13" t="s">
        <v>39</v>
      </c>
      <c r="O43" s="13">
        <v>1628.0</v>
      </c>
      <c r="P43" s="13">
        <v>1542.0</v>
      </c>
      <c r="Q43" s="18">
        <v>4458.0</v>
      </c>
      <c r="R43" s="18">
        <v>4458.0</v>
      </c>
      <c r="S43" s="18">
        <v>4458.0</v>
      </c>
    </row>
    <row r="44" ht="24.0" customHeight="1">
      <c r="A44" s="13" t="s">
        <v>251</v>
      </c>
      <c r="B44" s="43" t="s">
        <v>167</v>
      </c>
      <c r="C44" s="14">
        <f t="shared" si="3"/>
        <v>2.028255528</v>
      </c>
      <c r="D44" s="13" t="s">
        <v>156</v>
      </c>
      <c r="E44" s="14">
        <f t="shared" si="4"/>
        <v>2.389434889</v>
      </c>
      <c r="F44" s="13" t="s">
        <v>156</v>
      </c>
      <c r="G44" s="14">
        <f t="shared" si="6"/>
        <v>2.389434889</v>
      </c>
      <c r="H44" s="13" t="s">
        <v>204</v>
      </c>
      <c r="I44" s="24"/>
      <c r="J44" s="13">
        <v>1.0</v>
      </c>
      <c r="K44" s="13">
        <v>2.0</v>
      </c>
      <c r="L44" s="17">
        <f t="shared" si="7"/>
        <v>1.014127764</v>
      </c>
      <c r="M44" s="17">
        <f t="shared" si="8"/>
        <v>1.194717445</v>
      </c>
      <c r="N44" s="13" t="s">
        <v>68</v>
      </c>
      <c r="O44" s="13">
        <v>1628.0</v>
      </c>
      <c r="P44" s="13">
        <v>1542.0</v>
      </c>
      <c r="Q44" s="18">
        <v>3302.0</v>
      </c>
      <c r="R44" s="18">
        <v>3890.0</v>
      </c>
      <c r="S44" s="18">
        <v>3890.0</v>
      </c>
    </row>
    <row r="45" ht="24.0" customHeight="1">
      <c r="A45" s="13" t="s">
        <v>252</v>
      </c>
      <c r="B45" s="43" t="s">
        <v>167</v>
      </c>
      <c r="C45" s="14">
        <f t="shared" si="3"/>
        <v>1.458230958</v>
      </c>
      <c r="D45" s="13"/>
      <c r="E45" s="14">
        <f t="shared" si="4"/>
        <v>1.458230958</v>
      </c>
      <c r="F45" s="29"/>
      <c r="G45" s="14">
        <f t="shared" si="6"/>
        <v>1.458230958</v>
      </c>
      <c r="H45" s="13" t="s">
        <v>253</v>
      </c>
      <c r="I45" s="24"/>
      <c r="J45" s="46">
        <v>45935.0</v>
      </c>
      <c r="K45" s="13">
        <v>2.0</v>
      </c>
      <c r="L45" s="17">
        <f t="shared" si="7"/>
        <v>0.7291154791</v>
      </c>
      <c r="M45" s="17">
        <f t="shared" si="8"/>
        <v>0.7291154791</v>
      </c>
      <c r="N45" s="13" t="s">
        <v>68</v>
      </c>
      <c r="O45" s="13">
        <v>1628.0</v>
      </c>
      <c r="P45" s="13">
        <v>1542.0</v>
      </c>
      <c r="Q45" s="18">
        <v>2374.0</v>
      </c>
      <c r="R45" s="18">
        <v>2374.0</v>
      </c>
      <c r="S45" s="18">
        <v>2374.0</v>
      </c>
    </row>
    <row r="46" ht="24.0" customHeight="1">
      <c r="A46" s="13" t="s">
        <v>80</v>
      </c>
      <c r="B46" s="13"/>
      <c r="C46" s="14">
        <f t="shared" si="3"/>
        <v>1</v>
      </c>
      <c r="D46" s="13"/>
      <c r="E46" s="14">
        <f t="shared" si="4"/>
        <v>1</v>
      </c>
      <c r="F46" s="29"/>
      <c r="G46" s="14">
        <f t="shared" si="6"/>
        <v>1</v>
      </c>
      <c r="H46" s="13"/>
      <c r="I46" s="16" t="b">
        <v>0</v>
      </c>
      <c r="J46" s="13"/>
      <c r="K46" s="13"/>
      <c r="L46" s="17"/>
      <c r="M46" s="17"/>
      <c r="N46" s="29"/>
      <c r="O46" s="13">
        <v>1628.0</v>
      </c>
      <c r="P46" s="13">
        <v>1542.0</v>
      </c>
      <c r="Q46" s="18">
        <v>1628.0</v>
      </c>
      <c r="R46" s="18">
        <v>1628.0</v>
      </c>
      <c r="S46" s="18">
        <v>1628.0</v>
      </c>
    </row>
    <row r="47" ht="24.0" customHeight="1">
      <c r="A47" s="13" t="s">
        <v>254</v>
      </c>
      <c r="B47" s="15" t="s">
        <v>185</v>
      </c>
      <c r="C47" s="14">
        <f t="shared" si="3"/>
        <v>0.9275184275</v>
      </c>
      <c r="D47" s="13" t="s">
        <v>156</v>
      </c>
      <c r="E47" s="14">
        <f t="shared" si="4"/>
        <v>0.9275184275</v>
      </c>
      <c r="F47" s="29"/>
      <c r="G47" s="14">
        <f t="shared" si="6"/>
        <v>0.9275184275</v>
      </c>
      <c r="H47" s="13" t="s">
        <v>178</v>
      </c>
      <c r="I47" s="16" t="b">
        <v>0</v>
      </c>
      <c r="J47" s="13">
        <v>1.0</v>
      </c>
      <c r="K47" s="13">
        <v>2.0</v>
      </c>
      <c r="L47" s="17">
        <f t="shared" ref="L47:L48" si="9">C47/K47</f>
        <v>0.4637592138</v>
      </c>
      <c r="M47" s="17">
        <f t="shared" ref="M47:M48" si="10">G47/K47</f>
        <v>0.4637592138</v>
      </c>
      <c r="N47" s="13" t="s">
        <v>68</v>
      </c>
      <c r="O47" s="13">
        <v>1628.0</v>
      </c>
      <c r="P47" s="13">
        <v>1542.0</v>
      </c>
      <c r="Q47" s="18">
        <v>1510.0</v>
      </c>
      <c r="R47" s="18">
        <v>1510.0</v>
      </c>
      <c r="S47" s="18">
        <v>1510.0</v>
      </c>
    </row>
    <row r="48" ht="24.0" customHeight="1">
      <c r="A48" s="13" t="s">
        <v>255</v>
      </c>
      <c r="B48" s="15" t="s">
        <v>185</v>
      </c>
      <c r="C48" s="14">
        <f t="shared" si="3"/>
        <v>0.8003685504</v>
      </c>
      <c r="D48" s="13" t="s">
        <v>156</v>
      </c>
      <c r="E48" s="14">
        <f t="shared" si="4"/>
        <v>0.8003685504</v>
      </c>
      <c r="F48" s="29"/>
      <c r="G48" s="14">
        <f t="shared" si="6"/>
        <v>0.8003685504</v>
      </c>
      <c r="H48" s="13"/>
      <c r="I48" s="24"/>
      <c r="J48" s="13">
        <v>1.0</v>
      </c>
      <c r="K48" s="13">
        <v>2.0</v>
      </c>
      <c r="L48" s="17">
        <f t="shared" si="9"/>
        <v>0.4001842752</v>
      </c>
      <c r="M48" s="17">
        <f t="shared" si="10"/>
        <v>0.4001842752</v>
      </c>
      <c r="N48" s="13" t="s">
        <v>68</v>
      </c>
      <c r="O48" s="13">
        <v>1628.0</v>
      </c>
      <c r="P48" s="13">
        <v>1542.0</v>
      </c>
      <c r="Q48" s="18">
        <v>1303.0</v>
      </c>
      <c r="R48" s="18">
        <v>1303.0</v>
      </c>
      <c r="S48" s="18">
        <v>1303.0</v>
      </c>
    </row>
    <row r="49" ht="24.0" customHeight="1">
      <c r="A49" s="13" t="s">
        <v>82</v>
      </c>
      <c r="B49" s="13"/>
      <c r="C49" s="14">
        <f t="shared" si="3"/>
        <v>0.08668611794</v>
      </c>
      <c r="D49" s="13" t="s">
        <v>60</v>
      </c>
      <c r="E49" s="14">
        <f t="shared" si="4"/>
        <v>0.2600583538</v>
      </c>
      <c r="F49" s="29"/>
      <c r="G49" s="14">
        <f t="shared" si="6"/>
        <v>0</v>
      </c>
      <c r="H49" s="13"/>
      <c r="I49" s="16" t="b">
        <v>0</v>
      </c>
      <c r="J49" s="13"/>
      <c r="K49" s="13"/>
      <c r="L49" s="17"/>
      <c r="M49" s="17"/>
      <c r="N49" s="29"/>
      <c r="O49" s="13">
        <v>1628.0</v>
      </c>
      <c r="P49" s="13">
        <v>1542.0</v>
      </c>
      <c r="Q49" s="18">
        <f t="shared" ref="Q49:R49" si="11">Q51/8</f>
        <v>141.125</v>
      </c>
      <c r="R49" s="18">
        <f t="shared" si="11"/>
        <v>423.375</v>
      </c>
      <c r="S49" s="41"/>
    </row>
    <row r="50" ht="24.0" customHeight="1">
      <c r="A50" s="13" t="s">
        <v>256</v>
      </c>
      <c r="B50" s="13"/>
      <c r="C50" s="14">
        <f t="shared" si="3"/>
        <v>1.031326781</v>
      </c>
      <c r="D50" s="13" t="s">
        <v>60</v>
      </c>
      <c r="E50" s="14">
        <f t="shared" si="4"/>
        <v>3.093980344</v>
      </c>
      <c r="F50" s="29"/>
      <c r="G50" s="14">
        <f t="shared" si="6"/>
        <v>0</v>
      </c>
      <c r="H50" s="13"/>
      <c r="I50" s="16" t="b">
        <v>0</v>
      </c>
      <c r="J50" s="13"/>
      <c r="K50" s="13"/>
      <c r="L50" s="17"/>
      <c r="M50" s="17"/>
      <c r="N50" s="29"/>
      <c r="O50" s="13">
        <v>1628.0</v>
      </c>
      <c r="P50" s="13">
        <v>1542.0</v>
      </c>
      <c r="Q50" s="18">
        <v>1679.0</v>
      </c>
      <c r="R50" s="18">
        <v>5037.0</v>
      </c>
      <c r="S50" s="41"/>
    </row>
    <row r="51" ht="24.0" customHeight="1">
      <c r="A51" s="13" t="s">
        <v>257</v>
      </c>
      <c r="B51" s="13"/>
      <c r="C51" s="14">
        <f t="shared" si="3"/>
        <v>0.6934889435</v>
      </c>
      <c r="D51" s="13" t="s">
        <v>60</v>
      </c>
      <c r="E51" s="14">
        <f t="shared" si="4"/>
        <v>2.08046683</v>
      </c>
      <c r="F51" s="29"/>
      <c r="G51" s="14">
        <f t="shared" si="6"/>
        <v>0</v>
      </c>
      <c r="H51" s="13"/>
      <c r="I51" s="16" t="b">
        <v>0</v>
      </c>
      <c r="J51" s="13"/>
      <c r="K51" s="13"/>
      <c r="L51" s="17"/>
      <c r="M51" s="17"/>
      <c r="N51" s="29"/>
      <c r="O51" s="13">
        <v>1628.0</v>
      </c>
      <c r="P51" s="13">
        <v>1542.0</v>
      </c>
      <c r="Q51" s="18">
        <v>1129.0</v>
      </c>
      <c r="R51" s="18">
        <v>3387.0</v>
      </c>
      <c r="S51" s="41"/>
    </row>
    <row r="52" ht="24.0" customHeight="1">
      <c r="A52" s="13" t="s">
        <v>183</v>
      </c>
      <c r="B52" s="13"/>
      <c r="C52" s="14">
        <f t="shared" si="3"/>
        <v>0.7801750614</v>
      </c>
      <c r="D52" s="13" t="s">
        <v>60</v>
      </c>
      <c r="E52" s="14">
        <f t="shared" si="4"/>
        <v>2.340525184</v>
      </c>
      <c r="F52" s="29"/>
      <c r="G52" s="14">
        <f t="shared" si="6"/>
        <v>0</v>
      </c>
      <c r="H52" s="13"/>
      <c r="I52" s="16" t="b">
        <v>0</v>
      </c>
      <c r="J52" s="13"/>
      <c r="K52" s="13"/>
      <c r="L52" s="17"/>
      <c r="M52" s="17"/>
      <c r="N52" s="29"/>
      <c r="O52" s="13">
        <v>1628.0</v>
      </c>
      <c r="P52" s="13">
        <v>1542.0</v>
      </c>
      <c r="Q52" s="18">
        <f t="shared" ref="Q52:R52" si="12">Q51/8*9</f>
        <v>1270.125</v>
      </c>
      <c r="R52" s="18">
        <f t="shared" si="12"/>
        <v>3810.375</v>
      </c>
      <c r="S52" s="41"/>
    </row>
    <row r="53" ht="24.0" customHeight="1">
      <c r="A53" s="13" t="s">
        <v>258</v>
      </c>
      <c r="B53" s="13"/>
      <c r="C53" s="14">
        <f t="shared" si="3"/>
        <v>5.958845209</v>
      </c>
      <c r="D53" s="13"/>
      <c r="E53" s="14">
        <f t="shared" si="4"/>
        <v>0</v>
      </c>
      <c r="F53" s="29"/>
      <c r="G53" s="14">
        <f t="shared" si="6"/>
        <v>0</v>
      </c>
      <c r="H53" s="13"/>
      <c r="I53" s="16" t="b">
        <v>0</v>
      </c>
      <c r="J53" s="13"/>
      <c r="K53" s="13"/>
      <c r="L53" s="17"/>
      <c r="M53" s="17"/>
      <c r="N53" s="29"/>
      <c r="O53" s="13">
        <v>1628.0</v>
      </c>
      <c r="P53" s="13">
        <v>1542.0</v>
      </c>
      <c r="Q53" s="18">
        <v>9701.0</v>
      </c>
      <c r="R53" s="30"/>
      <c r="S53" s="41"/>
    </row>
    <row r="54" ht="24.0" customHeight="1">
      <c r="A54" s="13" t="s">
        <v>83</v>
      </c>
      <c r="B54" s="13"/>
      <c r="C54" s="14">
        <f t="shared" si="3"/>
        <v>0.1498771499</v>
      </c>
      <c r="D54" s="13"/>
      <c r="E54" s="14">
        <f t="shared" si="4"/>
        <v>0</v>
      </c>
      <c r="F54" s="29"/>
      <c r="G54" s="14">
        <f t="shared" si="6"/>
        <v>0</v>
      </c>
      <c r="H54" s="13"/>
      <c r="I54" s="16" t="b">
        <v>0</v>
      </c>
      <c r="J54" s="13"/>
      <c r="K54" s="13"/>
      <c r="L54" s="17"/>
      <c r="M54" s="17"/>
      <c r="N54" s="29"/>
      <c r="O54" s="13">
        <v>1628.0</v>
      </c>
      <c r="P54" s="13">
        <v>1542.0</v>
      </c>
      <c r="Q54" s="18">
        <v>244.0</v>
      </c>
      <c r="R54" s="30"/>
      <c r="S54" s="41"/>
    </row>
  </sheetData>
  <dataValidations>
    <dataValidation type="custom" allowBlank="1" showDropDown="1" sqref="C2:C54 E2:E54 G2:G54 L2:M54 Q2:R54">
      <formula1>AND(ISNUMBER(C2),(NOT(OR(NOT(ISERROR(DATEVALUE(C2))), AND(ISNUMBER(C2), LEFT(CELL("format", C2))="D")))))</formula1>
    </dataValidation>
  </dataValidations>
  <hyperlinks>
    <hyperlink r:id="rId1" ref="U13"/>
    <hyperlink r:id="rId2" ref="U15"/>
    <hyperlink r:id="rId3" ref="U17"/>
    <hyperlink r:id="rId4" ref="U19"/>
  </hyperlinks>
  <drawing r:id="rId5"/>
  <tableParts count="1"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1.88"/>
    <col customWidth="1" min="3" max="3" width="15.0"/>
    <col customWidth="1" min="4" max="4" width="12.13"/>
    <col customWidth="1" min="5" max="5" width="19.88"/>
    <col customWidth="1" min="6" max="6" width="15.25"/>
    <col customWidth="1" min="7" max="7" width="60.63"/>
    <col customWidth="1" min="8" max="8" width="11.75"/>
    <col customWidth="1" min="9" max="9" width="12.38"/>
    <col customWidth="1" min="10" max="10" width="11.63"/>
    <col customWidth="1" min="11" max="11" width="10.38"/>
    <col customWidth="1" min="12" max="12" width="13.0"/>
    <col customWidth="1" min="13" max="13" width="13.25"/>
    <col customWidth="1" min="14" max="14" width="12.0"/>
    <col customWidth="1" min="15" max="15" width="14.75"/>
    <col customWidth="1" hidden="1" min="16" max="16" width="13.75"/>
    <col hidden="1" min="17" max="17" width="12.63"/>
    <col customWidth="1" hidden="1" min="18" max="18" width="10.25"/>
    <col customWidth="1" hidden="1" min="19" max="19" width="9.63"/>
    <col hidden="1" min="20" max="20" width="12.63"/>
    <col customWidth="1" min="21" max="21" width="16.0"/>
  </cols>
  <sheetData>
    <row r="1" ht="22.5" customHeight="1">
      <c r="A1" s="1" t="s">
        <v>0</v>
      </c>
      <c r="B1" s="2" t="s">
        <v>1</v>
      </c>
      <c r="C1" s="3" t="s">
        <v>2</v>
      </c>
      <c r="D1" s="3" t="s">
        <v>259</v>
      </c>
      <c r="E1" s="47" t="s">
        <v>260</v>
      </c>
      <c r="F1" s="47" t="s">
        <v>261</v>
      </c>
      <c r="G1" s="2" t="s">
        <v>4</v>
      </c>
      <c r="H1" s="48" t="s">
        <v>262</v>
      </c>
      <c r="I1" s="49" t="s">
        <v>263</v>
      </c>
      <c r="J1" s="5" t="s">
        <v>6</v>
      </c>
      <c r="K1" s="6" t="s">
        <v>7</v>
      </c>
      <c r="L1" s="7" t="s">
        <v>8</v>
      </c>
      <c r="M1" s="8" t="s">
        <v>9</v>
      </c>
      <c r="N1" s="8" t="s">
        <v>10</v>
      </c>
      <c r="O1" s="2" t="s">
        <v>11</v>
      </c>
      <c r="P1" s="9" t="s">
        <v>12</v>
      </c>
      <c r="Q1" s="10" t="s">
        <v>13</v>
      </c>
      <c r="R1" s="11" t="s">
        <v>14</v>
      </c>
      <c r="S1" s="12" t="s">
        <v>15</v>
      </c>
      <c r="T1" s="12" t="s">
        <v>90</v>
      </c>
    </row>
    <row r="2" ht="22.5" customHeight="1">
      <c r="A2" s="13" t="s">
        <v>264</v>
      </c>
      <c r="B2" s="14">
        <f>R2/$P$11</f>
        <v>12</v>
      </c>
      <c r="C2" s="13" t="s">
        <v>265</v>
      </c>
      <c r="D2" s="21">
        <f>S2/$P$12</f>
        <v>84</v>
      </c>
      <c r="E2" s="17" t="s">
        <v>266</v>
      </c>
      <c r="F2" s="17">
        <f t="shared" ref="F2:F23" si="1">T2/P2</f>
        <v>126</v>
      </c>
      <c r="G2" s="13" t="s">
        <v>267</v>
      </c>
      <c r="H2" s="13"/>
      <c r="I2" s="23" t="s">
        <v>268</v>
      </c>
      <c r="J2" s="24" t="b">
        <v>0</v>
      </c>
      <c r="K2" s="13">
        <v>1.0</v>
      </c>
      <c r="L2" s="13" t="s">
        <v>19</v>
      </c>
      <c r="M2" s="17"/>
      <c r="N2" s="17"/>
      <c r="O2" s="13" t="s">
        <v>20</v>
      </c>
      <c r="P2" s="13">
        <v>1485.0</v>
      </c>
      <c r="Q2" s="13">
        <v>1485.0</v>
      </c>
      <c r="R2" s="18">
        <v>17820.0</v>
      </c>
      <c r="S2" s="18">
        <f>17820*7</f>
        <v>124740</v>
      </c>
      <c r="T2" s="18">
        <f>S2*1.5</f>
        <v>187110</v>
      </c>
    </row>
    <row r="3" ht="22.5" customHeight="1">
      <c r="A3" s="13" t="s">
        <v>269</v>
      </c>
      <c r="B3" s="14">
        <f t="shared" ref="B3:B4" si="2">R3/P3</f>
        <v>2.8</v>
      </c>
      <c r="C3" s="13" t="s">
        <v>270</v>
      </c>
      <c r="D3" s="21">
        <f t="shared" ref="D3:D4" si="3">S3/P3</f>
        <v>44.464</v>
      </c>
      <c r="E3" s="17" t="s">
        <v>271</v>
      </c>
      <c r="F3" s="19">
        <f t="shared" si="1"/>
        <v>116.718</v>
      </c>
      <c r="G3" s="13" t="s">
        <v>272</v>
      </c>
      <c r="H3" s="13" t="s">
        <v>273</v>
      </c>
      <c r="I3" s="23" t="s">
        <v>268</v>
      </c>
      <c r="J3" s="24"/>
      <c r="K3" s="13">
        <v>1.0</v>
      </c>
      <c r="L3" s="13">
        <v>4.0</v>
      </c>
      <c r="M3" s="17">
        <f t="shared" ref="M3:M4" si="4">B3/L3</f>
        <v>0.7</v>
      </c>
      <c r="N3" s="17">
        <f t="shared" ref="N3:N4" si="5">F3/L3</f>
        <v>29.1795</v>
      </c>
      <c r="O3" s="13" t="s">
        <v>20</v>
      </c>
      <c r="P3" s="13">
        <v>1485.0</v>
      </c>
      <c r="Q3" s="13">
        <v>1485.0</v>
      </c>
      <c r="R3" s="18">
        <v>4158.0</v>
      </c>
      <c r="S3" s="18">
        <f>4158*(1+0.015*198)*4</f>
        <v>66029.04</v>
      </c>
      <c r="T3" s="18">
        <f>4158*(1+0.015*198)*7*1.5</f>
        <v>173326.23</v>
      </c>
    </row>
    <row r="4" ht="22.5" customHeight="1">
      <c r="A4" s="13" t="s">
        <v>274</v>
      </c>
      <c r="B4" s="14">
        <f t="shared" si="2"/>
        <v>7.799326599</v>
      </c>
      <c r="C4" s="13" t="s">
        <v>275</v>
      </c>
      <c r="D4" s="21">
        <f t="shared" si="3"/>
        <v>27.2976431</v>
      </c>
      <c r="E4" s="17" t="s">
        <v>276</v>
      </c>
      <c r="F4" s="19">
        <f t="shared" si="1"/>
        <v>70.19393939</v>
      </c>
      <c r="G4" s="13" t="s">
        <v>277</v>
      </c>
      <c r="H4" s="13" t="s">
        <v>273</v>
      </c>
      <c r="I4" s="23" t="s">
        <v>268</v>
      </c>
      <c r="J4" s="24"/>
      <c r="K4" s="13">
        <v>0.4</v>
      </c>
      <c r="L4" s="13">
        <v>9.0</v>
      </c>
      <c r="M4" s="17">
        <f t="shared" si="4"/>
        <v>0.8665918444</v>
      </c>
      <c r="N4" s="17">
        <f t="shared" si="5"/>
        <v>7.799326599</v>
      </c>
      <c r="O4" s="13" t="s">
        <v>20</v>
      </c>
      <c r="P4" s="13">
        <v>1485.0</v>
      </c>
      <c r="Q4" s="13">
        <v>1485.0</v>
      </c>
      <c r="R4" s="18">
        <v>11582.0</v>
      </c>
      <c r="S4" s="18">
        <f>11582*3.5</f>
        <v>40537</v>
      </c>
      <c r="T4" s="18">
        <f>11582*6*1.5</f>
        <v>104238</v>
      </c>
    </row>
    <row r="5" ht="22.5" customHeight="1">
      <c r="A5" s="13" t="s">
        <v>278</v>
      </c>
      <c r="B5" s="14">
        <f>R5/$P$11</f>
        <v>12</v>
      </c>
      <c r="C5" s="13" t="s">
        <v>275</v>
      </c>
      <c r="D5" s="14">
        <f>S5/$P$12</f>
        <v>36</v>
      </c>
      <c r="E5" s="17" t="s">
        <v>279</v>
      </c>
      <c r="F5" s="17">
        <f t="shared" si="1"/>
        <v>54</v>
      </c>
      <c r="G5" s="13" t="s">
        <v>267</v>
      </c>
      <c r="H5" s="13"/>
      <c r="I5" s="23" t="s">
        <v>268</v>
      </c>
      <c r="J5" s="16" t="b">
        <v>0</v>
      </c>
      <c r="K5" s="13">
        <v>1.0</v>
      </c>
      <c r="L5" s="13" t="s">
        <v>19</v>
      </c>
      <c r="M5" s="17"/>
      <c r="N5" s="17"/>
      <c r="O5" s="13" t="s">
        <v>20</v>
      </c>
      <c r="P5" s="13">
        <v>1485.0</v>
      </c>
      <c r="Q5" s="13">
        <v>1485.0</v>
      </c>
      <c r="R5" s="18">
        <v>17820.0</v>
      </c>
      <c r="S5" s="18">
        <f>17820*3</f>
        <v>53460</v>
      </c>
      <c r="T5" s="18">
        <f>S5*1.5</f>
        <v>80190</v>
      </c>
    </row>
    <row r="6" ht="22.5" customHeight="1">
      <c r="A6" s="13" t="s">
        <v>280</v>
      </c>
      <c r="B6" s="14">
        <f t="shared" ref="B6:B10" si="6">R6/P6</f>
        <v>3.6</v>
      </c>
      <c r="C6" s="13" t="s">
        <v>275</v>
      </c>
      <c r="D6" s="14">
        <f t="shared" ref="D6:D23" si="7">S6/P6</f>
        <v>16.2</v>
      </c>
      <c r="E6" s="17" t="s">
        <v>276</v>
      </c>
      <c r="F6" s="17">
        <f t="shared" si="1"/>
        <v>43.2</v>
      </c>
      <c r="G6" s="13" t="s">
        <v>281</v>
      </c>
      <c r="H6" s="13" t="s">
        <v>273</v>
      </c>
      <c r="I6" s="23" t="s">
        <v>268</v>
      </c>
      <c r="J6" s="24"/>
      <c r="K6" s="13">
        <v>1.0</v>
      </c>
      <c r="L6" s="13">
        <v>5.0</v>
      </c>
      <c r="M6" s="17">
        <f t="shared" ref="M6:M10" si="8">B6/L6</f>
        <v>0.72</v>
      </c>
      <c r="N6" s="17">
        <f t="shared" ref="N6:N10" si="9">F6/L6</f>
        <v>8.64</v>
      </c>
      <c r="O6" s="50" t="s">
        <v>25</v>
      </c>
      <c r="P6" s="13">
        <v>1485.0</v>
      </c>
      <c r="Q6" s="13">
        <v>1485.0</v>
      </c>
      <c r="R6" s="18">
        <v>5346.0</v>
      </c>
      <c r="S6" s="18">
        <f>5346*4.5</f>
        <v>24057</v>
      </c>
      <c r="T6" s="18">
        <f>5346*8*1.5</f>
        <v>64152</v>
      </c>
    </row>
    <row r="7" ht="22.5" customHeight="1">
      <c r="A7" s="13" t="s">
        <v>282</v>
      </c>
      <c r="B7" s="14">
        <f t="shared" si="6"/>
        <v>4.2</v>
      </c>
      <c r="C7" s="13" t="s">
        <v>275</v>
      </c>
      <c r="D7" s="14">
        <f t="shared" si="7"/>
        <v>14.7</v>
      </c>
      <c r="E7" s="17" t="s">
        <v>276</v>
      </c>
      <c r="F7" s="17">
        <f t="shared" si="1"/>
        <v>37.8</v>
      </c>
      <c r="G7" s="13" t="s">
        <v>283</v>
      </c>
      <c r="H7" s="13" t="s">
        <v>273</v>
      </c>
      <c r="I7" s="23" t="s">
        <v>268</v>
      </c>
      <c r="J7" s="16" t="b">
        <v>1</v>
      </c>
      <c r="K7" s="13">
        <v>0.5</v>
      </c>
      <c r="L7" s="13">
        <v>6.0</v>
      </c>
      <c r="M7" s="17">
        <f t="shared" si="8"/>
        <v>0.7</v>
      </c>
      <c r="N7" s="17">
        <f t="shared" si="9"/>
        <v>6.3</v>
      </c>
      <c r="O7" s="13" t="s">
        <v>25</v>
      </c>
      <c r="P7" s="13">
        <v>1485.0</v>
      </c>
      <c r="Q7" s="13">
        <v>1485.0</v>
      </c>
      <c r="R7" s="18">
        <v>6237.0</v>
      </c>
      <c r="S7" s="18">
        <f>6237*3.5</f>
        <v>21829.5</v>
      </c>
      <c r="T7" s="18">
        <f>6237*6*1.5</f>
        <v>56133</v>
      </c>
    </row>
    <row r="8" ht="22.5" customHeight="1">
      <c r="A8" s="13" t="s">
        <v>284</v>
      </c>
      <c r="B8" s="14">
        <f t="shared" si="6"/>
        <v>3.3003367</v>
      </c>
      <c r="C8" s="13" t="s">
        <v>275</v>
      </c>
      <c r="D8" s="14">
        <f t="shared" si="7"/>
        <v>13.2</v>
      </c>
      <c r="E8" s="17" t="s">
        <v>276</v>
      </c>
      <c r="F8" s="19">
        <f t="shared" si="1"/>
        <v>34.65353535</v>
      </c>
      <c r="G8" s="13" t="s">
        <v>285</v>
      </c>
      <c r="H8" s="13" t="s">
        <v>273</v>
      </c>
      <c r="I8" s="23" t="s">
        <v>268</v>
      </c>
      <c r="J8" s="16" t="b">
        <v>0</v>
      </c>
      <c r="K8" s="13">
        <v>0.7</v>
      </c>
      <c r="L8" s="13">
        <v>5.0</v>
      </c>
      <c r="M8" s="17">
        <f t="shared" si="8"/>
        <v>0.6600673401</v>
      </c>
      <c r="N8" s="17">
        <f t="shared" si="9"/>
        <v>6.930707071</v>
      </c>
      <c r="O8" s="13" t="s">
        <v>39</v>
      </c>
      <c r="P8" s="13">
        <v>1485.0</v>
      </c>
      <c r="Q8" s="13">
        <v>1485.0</v>
      </c>
      <c r="R8" s="18">
        <v>4901.0</v>
      </c>
      <c r="S8" s="18">
        <v>19602.0</v>
      </c>
      <c r="T8" s="18">
        <f>4901*7*1.5</f>
        <v>51460.5</v>
      </c>
    </row>
    <row r="9" ht="22.5" customHeight="1">
      <c r="A9" s="13" t="s">
        <v>286</v>
      </c>
      <c r="B9" s="21">
        <f t="shared" si="6"/>
        <v>10.5003367</v>
      </c>
      <c r="C9" s="13"/>
      <c r="D9" s="14">
        <f t="shared" si="7"/>
        <v>10.5003367</v>
      </c>
      <c r="E9" s="17" t="s">
        <v>287</v>
      </c>
      <c r="F9" s="17">
        <f t="shared" si="1"/>
        <v>15.75050505</v>
      </c>
      <c r="G9" s="13" t="s">
        <v>111</v>
      </c>
      <c r="H9" s="20">
        <v>10.0</v>
      </c>
      <c r="I9" s="51" t="s">
        <v>288</v>
      </c>
      <c r="J9" s="24"/>
      <c r="K9" s="13">
        <v>1.0</v>
      </c>
      <c r="L9" s="13">
        <v>9.0</v>
      </c>
      <c r="M9" s="17">
        <f t="shared" si="8"/>
        <v>1.166704078</v>
      </c>
      <c r="N9" s="17">
        <f t="shared" si="9"/>
        <v>1.750056117</v>
      </c>
      <c r="O9" s="13" t="s">
        <v>20</v>
      </c>
      <c r="P9" s="13">
        <v>1485.0</v>
      </c>
      <c r="Q9" s="13">
        <v>1485.0</v>
      </c>
      <c r="R9" s="18">
        <v>15593.0</v>
      </c>
      <c r="S9" s="18">
        <v>15593.0</v>
      </c>
      <c r="T9" s="18">
        <f t="shared" ref="T9:T11" si="10">S9*1.5</f>
        <v>23389.5</v>
      </c>
    </row>
    <row r="10" ht="22.5" customHeight="1">
      <c r="A10" s="13" t="s">
        <v>289</v>
      </c>
      <c r="B10" s="14">
        <f t="shared" si="6"/>
        <v>3.280808081</v>
      </c>
      <c r="C10" s="13" t="s">
        <v>290</v>
      </c>
      <c r="D10" s="14">
        <f t="shared" si="7"/>
        <v>9.842424242</v>
      </c>
      <c r="E10" s="17" t="s">
        <v>291</v>
      </c>
      <c r="F10" s="17">
        <f t="shared" si="1"/>
        <v>14.76363636</v>
      </c>
      <c r="G10" s="13" t="s">
        <v>292</v>
      </c>
      <c r="H10" s="13" t="s">
        <v>293</v>
      </c>
      <c r="I10" s="23" t="s">
        <v>268</v>
      </c>
      <c r="J10" s="24"/>
      <c r="K10" s="13">
        <v>0.1</v>
      </c>
      <c r="L10" s="13">
        <v>4.0</v>
      </c>
      <c r="M10" s="17">
        <f t="shared" si="8"/>
        <v>0.8202020202</v>
      </c>
      <c r="N10" s="17">
        <f t="shared" si="9"/>
        <v>3.690909091</v>
      </c>
      <c r="O10" s="13" t="s">
        <v>39</v>
      </c>
      <c r="P10" s="13">
        <v>1485.0</v>
      </c>
      <c r="Q10" s="13">
        <v>1485.0</v>
      </c>
      <c r="R10" s="18">
        <v>4872.0</v>
      </c>
      <c r="S10" s="18">
        <f>4872*3</f>
        <v>14616</v>
      </c>
      <c r="T10" s="18">
        <f t="shared" si="10"/>
        <v>21924</v>
      </c>
    </row>
    <row r="11" ht="22.5" customHeight="1">
      <c r="A11" s="13" t="s">
        <v>294</v>
      </c>
      <c r="B11" s="14">
        <f>R11/$P$11</f>
        <v>9.75016835</v>
      </c>
      <c r="C11" s="13"/>
      <c r="D11" s="14">
        <f t="shared" si="7"/>
        <v>9.75016835</v>
      </c>
      <c r="E11" s="17" t="s">
        <v>287</v>
      </c>
      <c r="F11" s="17">
        <f t="shared" si="1"/>
        <v>14.62525253</v>
      </c>
      <c r="G11" s="13" t="s">
        <v>295</v>
      </c>
      <c r="H11" s="13"/>
      <c r="I11" s="23" t="s">
        <v>268</v>
      </c>
      <c r="J11" s="16" t="b">
        <v>0</v>
      </c>
      <c r="K11" s="13">
        <v>0.5</v>
      </c>
      <c r="L11" s="13" t="s">
        <v>296</v>
      </c>
      <c r="M11" s="17"/>
      <c r="N11" s="17"/>
      <c r="O11" s="13" t="s">
        <v>44</v>
      </c>
      <c r="P11" s="13">
        <v>1485.0</v>
      </c>
      <c r="Q11" s="13">
        <v>1485.0</v>
      </c>
      <c r="R11" s="18">
        <v>14479.0</v>
      </c>
      <c r="S11" s="18">
        <v>14479.0</v>
      </c>
      <c r="T11" s="18">
        <f t="shared" si="10"/>
        <v>21718.5</v>
      </c>
    </row>
    <row r="12" ht="22.5" customHeight="1">
      <c r="A12" s="13" t="s">
        <v>297</v>
      </c>
      <c r="B12" s="14">
        <f t="shared" ref="B12:B25" si="11">R12/P12</f>
        <v>1.4</v>
      </c>
      <c r="C12" s="13" t="s">
        <v>275</v>
      </c>
      <c r="D12" s="14">
        <f t="shared" si="7"/>
        <v>4.9</v>
      </c>
      <c r="E12" s="17" t="s">
        <v>276</v>
      </c>
      <c r="F12" s="17">
        <f t="shared" si="1"/>
        <v>12.6</v>
      </c>
      <c r="G12" s="13" t="s">
        <v>298</v>
      </c>
      <c r="H12" s="13" t="s">
        <v>273</v>
      </c>
      <c r="I12" s="23" t="s">
        <v>268</v>
      </c>
      <c r="J12" s="24"/>
      <c r="K12" s="13">
        <v>1.0</v>
      </c>
      <c r="L12" s="13">
        <v>2.0</v>
      </c>
      <c r="M12" s="17">
        <f>B12/L12</f>
        <v>0.7</v>
      </c>
      <c r="N12" s="17">
        <f>F12/L12</f>
        <v>6.3</v>
      </c>
      <c r="O12" s="13" t="s">
        <v>68</v>
      </c>
      <c r="P12" s="13">
        <v>1485.0</v>
      </c>
      <c r="Q12" s="13">
        <v>1485.0</v>
      </c>
      <c r="R12" s="18">
        <v>2079.0</v>
      </c>
      <c r="S12" s="18">
        <f>3.5*2079</f>
        <v>7276.5</v>
      </c>
      <c r="T12" s="18">
        <f>2079*6*1.5</f>
        <v>18711</v>
      </c>
    </row>
    <row r="13" ht="21.0" customHeight="1">
      <c r="A13" s="13" t="s">
        <v>299</v>
      </c>
      <c r="B13" s="14">
        <f t="shared" si="11"/>
        <v>6</v>
      </c>
      <c r="C13" s="13"/>
      <c r="D13" s="14">
        <f t="shared" si="7"/>
        <v>6</v>
      </c>
      <c r="E13" s="17" t="s">
        <v>287</v>
      </c>
      <c r="F13" s="17">
        <f t="shared" si="1"/>
        <v>9</v>
      </c>
      <c r="G13" s="13" t="s">
        <v>300</v>
      </c>
      <c r="H13" s="13">
        <v>10.0</v>
      </c>
      <c r="I13" s="51" t="s">
        <v>288</v>
      </c>
      <c r="J13" s="24"/>
      <c r="K13" s="13">
        <v>0.1</v>
      </c>
      <c r="L13" s="13" t="s">
        <v>62</v>
      </c>
      <c r="M13" s="17"/>
      <c r="N13" s="17"/>
      <c r="O13" s="13" t="s">
        <v>25</v>
      </c>
      <c r="P13" s="13">
        <v>1485.0</v>
      </c>
      <c r="Q13" s="13">
        <v>1485.0</v>
      </c>
      <c r="R13" s="18">
        <v>8910.0</v>
      </c>
      <c r="S13" s="18">
        <v>8910.0</v>
      </c>
      <c r="T13" s="18">
        <f t="shared" ref="T13:T23" si="12">S13*1.5</f>
        <v>13365</v>
      </c>
    </row>
    <row r="14" ht="21.0" customHeight="1">
      <c r="A14" s="13" t="s">
        <v>301</v>
      </c>
      <c r="B14" s="14">
        <f t="shared" si="11"/>
        <v>2.101010101</v>
      </c>
      <c r="C14" s="13" t="s">
        <v>302</v>
      </c>
      <c r="D14" s="14">
        <f t="shared" si="7"/>
        <v>4.202020202</v>
      </c>
      <c r="E14" s="17" t="s">
        <v>303</v>
      </c>
      <c r="F14" s="17">
        <f t="shared" si="1"/>
        <v>6.303030303</v>
      </c>
      <c r="G14" s="13" t="s">
        <v>304</v>
      </c>
      <c r="H14" s="13">
        <v>-3.0</v>
      </c>
      <c r="I14" s="23" t="s">
        <v>268</v>
      </c>
      <c r="J14" s="16" t="b">
        <v>1</v>
      </c>
      <c r="K14" s="13">
        <v>0.5</v>
      </c>
      <c r="L14" s="13">
        <v>3.0</v>
      </c>
      <c r="M14" s="17">
        <f t="shared" ref="M14:M16" si="13">B14/L14</f>
        <v>0.7003367003</v>
      </c>
      <c r="N14" s="17">
        <f t="shared" ref="N14:N23" si="14">F14/L14</f>
        <v>2.101010101</v>
      </c>
      <c r="O14" s="13" t="s">
        <v>68</v>
      </c>
      <c r="P14" s="13">
        <v>1485.0</v>
      </c>
      <c r="Q14" s="13">
        <v>1485.0</v>
      </c>
      <c r="R14" s="52">
        <v>3120.0</v>
      </c>
      <c r="S14" s="18">
        <f>3120*2</f>
        <v>6240</v>
      </c>
      <c r="T14" s="18">
        <f t="shared" si="12"/>
        <v>9360</v>
      </c>
    </row>
    <row r="15" ht="21.0" customHeight="1">
      <c r="A15" s="13" t="s">
        <v>305</v>
      </c>
      <c r="B15" s="14">
        <f t="shared" si="11"/>
        <v>3.6</v>
      </c>
      <c r="C15" s="13"/>
      <c r="D15" s="14">
        <f t="shared" si="7"/>
        <v>3.6</v>
      </c>
      <c r="E15" s="17" t="s">
        <v>287</v>
      </c>
      <c r="F15" s="17">
        <f t="shared" si="1"/>
        <v>5.4</v>
      </c>
      <c r="G15" s="13" t="s">
        <v>306</v>
      </c>
      <c r="H15" s="13" t="s">
        <v>273</v>
      </c>
      <c r="I15" s="23" t="s">
        <v>268</v>
      </c>
      <c r="J15" s="16" t="b">
        <v>0</v>
      </c>
      <c r="K15" s="13">
        <v>1.0</v>
      </c>
      <c r="L15" s="13">
        <v>5.0</v>
      </c>
      <c r="M15" s="17">
        <f t="shared" si="13"/>
        <v>0.72</v>
      </c>
      <c r="N15" s="17">
        <f t="shared" si="14"/>
        <v>1.08</v>
      </c>
      <c r="O15" s="13" t="s">
        <v>39</v>
      </c>
      <c r="P15" s="13">
        <v>1485.0</v>
      </c>
      <c r="Q15" s="13">
        <v>1485.0</v>
      </c>
      <c r="R15" s="18">
        <v>5346.0</v>
      </c>
      <c r="S15" s="18">
        <v>5346.0</v>
      </c>
      <c r="T15" s="18">
        <f t="shared" si="12"/>
        <v>8019</v>
      </c>
    </row>
    <row r="16" ht="21.0" customHeight="1">
      <c r="A16" s="13" t="s">
        <v>307</v>
      </c>
      <c r="B16" s="14">
        <f t="shared" si="11"/>
        <v>3.6</v>
      </c>
      <c r="C16" s="13"/>
      <c r="D16" s="14">
        <f t="shared" si="7"/>
        <v>3.6</v>
      </c>
      <c r="E16" s="17" t="s">
        <v>287</v>
      </c>
      <c r="F16" s="17">
        <f t="shared" si="1"/>
        <v>5.4</v>
      </c>
      <c r="G16" s="13" t="s">
        <v>308</v>
      </c>
      <c r="H16" s="53" t="s">
        <v>309</v>
      </c>
      <c r="I16" s="51" t="s">
        <v>288</v>
      </c>
      <c r="J16" s="16" t="b">
        <v>1</v>
      </c>
      <c r="K16" s="13">
        <v>0.2</v>
      </c>
      <c r="L16" s="13">
        <v>7.0</v>
      </c>
      <c r="M16" s="17">
        <f t="shared" si="13"/>
        <v>0.5142857143</v>
      </c>
      <c r="N16" s="17">
        <f t="shared" si="14"/>
        <v>0.7714285714</v>
      </c>
      <c r="O16" s="13" t="s">
        <v>39</v>
      </c>
      <c r="P16" s="13">
        <v>1485.0</v>
      </c>
      <c r="Q16" s="13">
        <v>1485.0</v>
      </c>
      <c r="R16" s="18">
        <v>5346.0</v>
      </c>
      <c r="S16" s="18">
        <v>5346.0</v>
      </c>
      <c r="T16" s="18">
        <f t="shared" si="12"/>
        <v>8019</v>
      </c>
    </row>
    <row r="17" ht="21.0" customHeight="1">
      <c r="A17" s="13" t="s">
        <v>310</v>
      </c>
      <c r="B17" s="14">
        <f t="shared" si="11"/>
        <v>3</v>
      </c>
      <c r="C17" s="13"/>
      <c r="D17" s="14">
        <f t="shared" si="7"/>
        <v>3</v>
      </c>
      <c r="E17" s="17" t="s">
        <v>287</v>
      </c>
      <c r="F17" s="17">
        <f t="shared" si="1"/>
        <v>4.5</v>
      </c>
      <c r="G17" s="13" t="s">
        <v>311</v>
      </c>
      <c r="H17" s="13">
        <v>5.0</v>
      </c>
      <c r="I17" s="51" t="s">
        <v>288</v>
      </c>
      <c r="J17" s="16" t="b">
        <v>1</v>
      </c>
      <c r="K17" s="13">
        <v>1.0</v>
      </c>
      <c r="L17" s="13">
        <v>4.0</v>
      </c>
      <c r="M17" s="26"/>
      <c r="N17" s="17">
        <f t="shared" si="14"/>
        <v>1.125</v>
      </c>
      <c r="O17" s="13" t="s">
        <v>39</v>
      </c>
      <c r="P17" s="13">
        <v>1485.0</v>
      </c>
      <c r="Q17" s="13">
        <v>1485.0</v>
      </c>
      <c r="R17" s="18">
        <v>4455.0</v>
      </c>
      <c r="S17" s="18">
        <v>4455.0</v>
      </c>
      <c r="T17" s="18">
        <f t="shared" si="12"/>
        <v>6682.5</v>
      </c>
    </row>
    <row r="18" ht="24.0" customHeight="1">
      <c r="A18" s="13" t="s">
        <v>312</v>
      </c>
      <c r="B18" s="14">
        <f t="shared" si="11"/>
        <v>2.8</v>
      </c>
      <c r="C18" s="13"/>
      <c r="D18" s="14">
        <f t="shared" si="7"/>
        <v>2.8</v>
      </c>
      <c r="E18" s="17" t="s">
        <v>287</v>
      </c>
      <c r="F18" s="17">
        <f t="shared" si="1"/>
        <v>4.2</v>
      </c>
      <c r="G18" s="13" t="s">
        <v>313</v>
      </c>
      <c r="H18" s="13" t="s">
        <v>273</v>
      </c>
      <c r="I18" s="23" t="s">
        <v>268</v>
      </c>
      <c r="J18" s="16" t="b">
        <v>0</v>
      </c>
      <c r="K18" s="13">
        <v>1.0</v>
      </c>
      <c r="L18" s="13">
        <v>3.0</v>
      </c>
      <c r="M18" s="17">
        <f t="shared" ref="M18:M19" si="15">B18/L18</f>
        <v>0.9333333333</v>
      </c>
      <c r="N18" s="17">
        <f t="shared" si="14"/>
        <v>1.4</v>
      </c>
      <c r="O18" s="13" t="s">
        <v>39</v>
      </c>
      <c r="P18" s="13">
        <v>1485.0</v>
      </c>
      <c r="Q18" s="13">
        <v>1485.0</v>
      </c>
      <c r="R18" s="18">
        <v>4158.0</v>
      </c>
      <c r="S18" s="18">
        <v>4158.0</v>
      </c>
      <c r="T18" s="18">
        <f t="shared" si="12"/>
        <v>6237</v>
      </c>
    </row>
    <row r="19" ht="24.0" customHeight="1">
      <c r="A19" s="13" t="s">
        <v>314</v>
      </c>
      <c r="B19" s="14">
        <f t="shared" si="11"/>
        <v>2.8</v>
      </c>
      <c r="C19" s="13"/>
      <c r="D19" s="14">
        <f t="shared" si="7"/>
        <v>2.8</v>
      </c>
      <c r="E19" s="17" t="s">
        <v>287</v>
      </c>
      <c r="F19" s="17">
        <f t="shared" si="1"/>
        <v>4.2</v>
      </c>
      <c r="G19" s="13" t="s">
        <v>315</v>
      </c>
      <c r="H19" s="13">
        <v>3.0</v>
      </c>
      <c r="I19" s="51" t="s">
        <v>288</v>
      </c>
      <c r="J19" s="16" t="b">
        <v>1</v>
      </c>
      <c r="K19" s="13">
        <v>0.7</v>
      </c>
      <c r="L19" s="13">
        <v>3.0</v>
      </c>
      <c r="M19" s="17">
        <f t="shared" si="15"/>
        <v>0.9333333333</v>
      </c>
      <c r="N19" s="17">
        <f t="shared" si="14"/>
        <v>1.4</v>
      </c>
      <c r="O19" s="13" t="s">
        <v>39</v>
      </c>
      <c r="P19" s="13">
        <v>1485.0</v>
      </c>
      <c r="Q19" s="13">
        <v>1485.0</v>
      </c>
      <c r="R19" s="18">
        <f t="shared" ref="R19:S19" si="16">2079*2</f>
        <v>4158</v>
      </c>
      <c r="S19" s="18">
        <f t="shared" si="16"/>
        <v>4158</v>
      </c>
      <c r="T19" s="18">
        <f t="shared" si="12"/>
        <v>6237</v>
      </c>
    </row>
    <row r="20" ht="24.0" customHeight="1">
      <c r="A20" s="13" t="s">
        <v>316</v>
      </c>
      <c r="B20" s="14">
        <f t="shared" si="11"/>
        <v>2.4</v>
      </c>
      <c r="C20" s="13"/>
      <c r="D20" s="14">
        <f t="shared" si="7"/>
        <v>2.4</v>
      </c>
      <c r="E20" s="17" t="s">
        <v>287</v>
      </c>
      <c r="F20" s="17">
        <f t="shared" si="1"/>
        <v>3.6</v>
      </c>
      <c r="G20" s="13"/>
      <c r="H20" s="13">
        <v>4.0</v>
      </c>
      <c r="I20" s="51" t="s">
        <v>288</v>
      </c>
      <c r="J20" s="16" t="b">
        <v>1</v>
      </c>
      <c r="K20" s="13">
        <v>0.7</v>
      </c>
      <c r="L20" s="13">
        <v>3.0</v>
      </c>
      <c r="M20" s="17"/>
      <c r="N20" s="17">
        <f t="shared" si="14"/>
        <v>1.2</v>
      </c>
      <c r="O20" s="20" t="s">
        <v>68</v>
      </c>
      <c r="P20" s="13">
        <v>1485.0</v>
      </c>
      <c r="Q20" s="13">
        <v>1485.0</v>
      </c>
      <c r="R20" s="18">
        <f t="shared" ref="R20:S20" si="17">1782*2</f>
        <v>3564</v>
      </c>
      <c r="S20" s="18">
        <f t="shared" si="17"/>
        <v>3564</v>
      </c>
      <c r="T20" s="18">
        <f t="shared" si="12"/>
        <v>5346</v>
      </c>
      <c r="V20" s="27" t="s">
        <v>65</v>
      </c>
    </row>
    <row r="21" ht="24.0" customHeight="1">
      <c r="A21" s="13" t="s">
        <v>317</v>
      </c>
      <c r="B21" s="14">
        <f t="shared" si="11"/>
        <v>2.4</v>
      </c>
      <c r="C21" s="13"/>
      <c r="D21" s="14">
        <f t="shared" si="7"/>
        <v>2.4</v>
      </c>
      <c r="E21" s="17" t="s">
        <v>287</v>
      </c>
      <c r="F21" s="17">
        <f t="shared" si="1"/>
        <v>3.6</v>
      </c>
      <c r="G21" s="13" t="s">
        <v>318</v>
      </c>
      <c r="H21" s="13"/>
      <c r="I21" s="51" t="s">
        <v>288</v>
      </c>
      <c r="J21" s="16" t="b">
        <v>0</v>
      </c>
      <c r="K21" s="13">
        <v>1.0</v>
      </c>
      <c r="L21" s="13">
        <v>3.0</v>
      </c>
      <c r="M21" s="17">
        <f t="shared" ref="M21:M23" si="19">B21/L21</f>
        <v>0.8</v>
      </c>
      <c r="N21" s="17">
        <f t="shared" si="14"/>
        <v>1.2</v>
      </c>
      <c r="O21" s="13" t="s">
        <v>68</v>
      </c>
      <c r="P21" s="13">
        <v>1485.0</v>
      </c>
      <c r="Q21" s="13">
        <v>1485.0</v>
      </c>
      <c r="R21" s="18">
        <f t="shared" ref="R21:S21" si="18">1782*2</f>
        <v>3564</v>
      </c>
      <c r="S21" s="18">
        <f t="shared" si="18"/>
        <v>3564</v>
      </c>
      <c r="T21" s="18">
        <f t="shared" si="12"/>
        <v>5346</v>
      </c>
    </row>
    <row r="22" ht="24.0" customHeight="1">
      <c r="A22" s="13" t="s">
        <v>319</v>
      </c>
      <c r="B22" s="14">
        <f t="shared" si="11"/>
        <v>2.4</v>
      </c>
      <c r="C22" s="13"/>
      <c r="D22" s="14">
        <f t="shared" si="7"/>
        <v>2.4</v>
      </c>
      <c r="E22" s="17" t="s">
        <v>287</v>
      </c>
      <c r="F22" s="17">
        <f t="shared" si="1"/>
        <v>3.6</v>
      </c>
      <c r="G22" s="13" t="s">
        <v>320</v>
      </c>
      <c r="H22" s="13" t="s">
        <v>273</v>
      </c>
      <c r="I22" s="23" t="s">
        <v>268</v>
      </c>
      <c r="J22" s="16" t="b">
        <v>0</v>
      </c>
      <c r="K22" s="13">
        <v>0.7</v>
      </c>
      <c r="L22" s="13">
        <v>4.0</v>
      </c>
      <c r="M22" s="17">
        <f t="shared" si="19"/>
        <v>0.6</v>
      </c>
      <c r="N22" s="17">
        <f t="shared" si="14"/>
        <v>0.9</v>
      </c>
      <c r="O22" s="50" t="s">
        <v>39</v>
      </c>
      <c r="P22" s="13">
        <v>1485.0</v>
      </c>
      <c r="Q22" s="13">
        <v>1485.0</v>
      </c>
      <c r="R22" s="18">
        <f t="shared" ref="R22:S22" si="20">1782*2</f>
        <v>3564</v>
      </c>
      <c r="S22" s="18">
        <f t="shared" si="20"/>
        <v>3564</v>
      </c>
      <c r="T22" s="18">
        <f t="shared" si="12"/>
        <v>5346</v>
      </c>
      <c r="V22" s="28" t="s">
        <v>321</v>
      </c>
    </row>
    <row r="23" ht="24.0" customHeight="1">
      <c r="A23" s="13" t="s">
        <v>322</v>
      </c>
      <c r="B23" s="14">
        <f t="shared" si="11"/>
        <v>1.2</v>
      </c>
      <c r="C23" s="13"/>
      <c r="D23" s="14">
        <f t="shared" si="7"/>
        <v>1.2</v>
      </c>
      <c r="E23" s="17" t="s">
        <v>287</v>
      </c>
      <c r="F23" s="17">
        <f t="shared" si="1"/>
        <v>1.8</v>
      </c>
      <c r="G23" s="13" t="s">
        <v>323</v>
      </c>
      <c r="H23" s="54" t="s">
        <v>324</v>
      </c>
      <c r="I23" s="51" t="s">
        <v>288</v>
      </c>
      <c r="J23" s="24"/>
      <c r="K23" s="13">
        <v>1.0</v>
      </c>
      <c r="L23" s="13">
        <v>2.0</v>
      </c>
      <c r="M23" s="17">
        <f t="shared" si="19"/>
        <v>0.6</v>
      </c>
      <c r="N23" s="17">
        <f t="shared" si="14"/>
        <v>0.9</v>
      </c>
      <c r="O23" s="50" t="s">
        <v>39</v>
      </c>
      <c r="P23" s="13">
        <v>1485.0</v>
      </c>
      <c r="Q23" s="13">
        <v>1485.0</v>
      </c>
      <c r="R23" s="18">
        <v>1782.0</v>
      </c>
      <c r="S23" s="18">
        <v>1782.0</v>
      </c>
      <c r="T23" s="18">
        <f t="shared" si="12"/>
        <v>2673</v>
      </c>
    </row>
    <row r="24" ht="24.0" customHeight="1">
      <c r="A24" s="13" t="s">
        <v>80</v>
      </c>
      <c r="B24" s="14">
        <f t="shared" si="11"/>
        <v>1</v>
      </c>
      <c r="C24" s="13"/>
      <c r="D24" s="14"/>
      <c r="E24" s="17"/>
      <c r="F24" s="17"/>
      <c r="G24" s="13"/>
      <c r="H24" s="13"/>
      <c r="I24" s="13"/>
      <c r="J24" s="16" t="b">
        <v>0</v>
      </c>
      <c r="K24" s="13"/>
      <c r="L24" s="13"/>
      <c r="M24" s="14"/>
      <c r="N24" s="14"/>
      <c r="O24" s="29"/>
      <c r="P24" s="13">
        <v>1485.0</v>
      </c>
      <c r="Q24" s="13">
        <v>1485.0</v>
      </c>
      <c r="R24" s="18">
        <v>1485.0</v>
      </c>
      <c r="S24" s="18"/>
      <c r="T24" s="18"/>
      <c r="V24" s="28" t="s">
        <v>77</v>
      </c>
    </row>
    <row r="25" ht="24.0" customHeight="1">
      <c r="A25" s="13" t="s">
        <v>83</v>
      </c>
      <c r="B25" s="14">
        <f t="shared" si="11"/>
        <v>0.15</v>
      </c>
      <c r="C25" s="13"/>
      <c r="D25" s="14"/>
      <c r="E25" s="17"/>
      <c r="F25" s="17"/>
      <c r="G25" s="13"/>
      <c r="H25" s="13"/>
      <c r="I25" s="13"/>
      <c r="J25" s="16" t="b">
        <v>0</v>
      </c>
      <c r="K25" s="13"/>
      <c r="L25" s="13"/>
      <c r="M25" s="14"/>
      <c r="N25" s="14"/>
      <c r="O25" s="29"/>
      <c r="P25" s="13">
        <v>1485.0</v>
      </c>
      <c r="Q25" s="13">
        <v>1485.0</v>
      </c>
      <c r="R25" s="18">
        <f>1485*0.15</f>
        <v>222.75</v>
      </c>
      <c r="S25" s="30"/>
      <c r="T25" s="30"/>
    </row>
    <row r="26" ht="24.0" customHeight="1">
      <c r="E26" s="31"/>
      <c r="J26" s="31"/>
      <c r="K26" s="31"/>
      <c r="V26" s="28" t="s">
        <v>81</v>
      </c>
    </row>
    <row r="27" ht="24.0" customHeight="1">
      <c r="E27" s="31"/>
      <c r="J27" s="31"/>
      <c r="K27" s="31"/>
    </row>
    <row r="28" ht="24.0" customHeight="1">
      <c r="E28" s="31"/>
      <c r="J28" s="31"/>
      <c r="K28" s="31"/>
    </row>
    <row r="29" ht="24.0" customHeight="1">
      <c r="E29" s="31"/>
    </row>
    <row r="30" ht="24.0" customHeight="1">
      <c r="E30" s="31"/>
    </row>
  </sheetData>
  <dataValidations>
    <dataValidation type="custom" allowBlank="1" showDropDown="1" sqref="B2:B25 D2:D25 F2:F25 M2:N25 R2:S25">
      <formula1>AND(ISNUMBER(B2),(NOT(OR(NOT(ISERROR(DATEVALUE(B2))), AND(ISNUMBER(B2), LEFT(CELL("format", B2))="D")))))</formula1>
    </dataValidation>
  </dataValidations>
  <hyperlinks>
    <hyperlink r:id="rId1" ref="V20"/>
    <hyperlink r:id="rId2" ref="V22"/>
    <hyperlink r:id="rId3" ref="V24"/>
    <hyperlink r:id="rId4" ref="V26"/>
  </hyperlinks>
  <drawing r:id="rId5"/>
  <tableParts count="1">
    <tablePart r:id="rId7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2.5"/>
    <col customWidth="1" min="3" max="3" width="14.63"/>
    <col customWidth="1" min="4" max="5" width="15.0"/>
    <col customWidth="1" min="6" max="6" width="51.13"/>
    <col customWidth="1" min="7" max="7" width="13.88"/>
    <col customWidth="1" min="8" max="8" width="13.13"/>
    <col customWidth="1" min="9" max="9" width="11.75"/>
    <col customWidth="1" min="10" max="10" width="13.0"/>
    <col customWidth="1" min="11" max="11" width="13.75"/>
    <col customWidth="1" min="12" max="12" width="12.25"/>
    <col customWidth="1" min="13" max="13" width="14.75"/>
    <col customWidth="1" hidden="1" min="14" max="14" width="14.88"/>
    <col customWidth="1" hidden="1" min="15" max="15" width="11.13"/>
    <col customWidth="1" hidden="1" min="16" max="16" width="14.13"/>
    <col customWidth="1" hidden="1" min="17" max="17" width="12.88"/>
    <col customWidth="1" min="18" max="18" width="13.88"/>
  </cols>
  <sheetData>
    <row r="1" ht="27.75" customHeight="1">
      <c r="A1" s="1" t="s">
        <v>0</v>
      </c>
      <c r="B1" s="2" t="s">
        <v>1</v>
      </c>
      <c r="C1" s="3" t="s">
        <v>2</v>
      </c>
      <c r="D1" s="3" t="s">
        <v>259</v>
      </c>
      <c r="E1" s="55" t="s">
        <v>325</v>
      </c>
      <c r="F1" s="2" t="s">
        <v>4</v>
      </c>
      <c r="G1" s="4" t="s">
        <v>326</v>
      </c>
      <c r="H1" s="6" t="s">
        <v>7</v>
      </c>
      <c r="I1" s="5" t="s">
        <v>6</v>
      </c>
      <c r="J1" s="7" t="s">
        <v>8</v>
      </c>
      <c r="K1" s="8" t="s">
        <v>9</v>
      </c>
      <c r="L1" s="8" t="s">
        <v>10</v>
      </c>
      <c r="M1" s="2" t="s">
        <v>11</v>
      </c>
      <c r="N1" s="9" t="s">
        <v>12</v>
      </c>
      <c r="O1" s="10" t="s">
        <v>13</v>
      </c>
      <c r="P1" s="11" t="s">
        <v>14</v>
      </c>
      <c r="Q1" s="12" t="s">
        <v>15</v>
      </c>
    </row>
    <row r="2" ht="22.5" customHeight="1">
      <c r="A2" s="56" t="s">
        <v>327</v>
      </c>
      <c r="B2" s="14">
        <f t="shared" ref="B2:B27" si="1">P2/N2</f>
        <v>8.399878641</v>
      </c>
      <c r="C2" s="13" t="s">
        <v>328</v>
      </c>
      <c r="D2" s="14">
        <f t="shared" ref="D2:D27" si="2">Q2/N2</f>
        <v>25.19963592</v>
      </c>
      <c r="E2" s="19">
        <f t="shared" ref="E2:E5" si="3">D2*3</f>
        <v>75.59890777</v>
      </c>
      <c r="F2" s="13" t="s">
        <v>329</v>
      </c>
      <c r="G2" s="13">
        <v>6.0</v>
      </c>
      <c r="H2" s="36" t="s">
        <v>330</v>
      </c>
      <c r="I2" s="16" t="b">
        <v>0</v>
      </c>
      <c r="J2" s="13">
        <v>9.0</v>
      </c>
      <c r="K2" s="17">
        <f>B2/J2</f>
        <v>0.933319849</v>
      </c>
      <c r="L2" s="17">
        <f t="shared" ref="L2:L4" si="4">E2/J2</f>
        <v>8.399878641</v>
      </c>
      <c r="M2" s="13" t="s">
        <v>20</v>
      </c>
      <c r="N2" s="13">
        <v>1648.0</v>
      </c>
      <c r="O2" s="13">
        <v>1648.0</v>
      </c>
      <c r="P2" s="18">
        <f>41529/3</f>
        <v>13843</v>
      </c>
      <c r="Q2" s="18">
        <f>P2*3</f>
        <v>41529</v>
      </c>
    </row>
    <row r="3" ht="22.5" customHeight="1">
      <c r="A3" s="56" t="s">
        <v>331</v>
      </c>
      <c r="B3" s="14">
        <f t="shared" si="1"/>
        <v>9.10315534</v>
      </c>
      <c r="C3" s="13" t="s">
        <v>332</v>
      </c>
      <c r="D3" s="14">
        <f t="shared" si="2"/>
        <v>22.75788835</v>
      </c>
      <c r="E3" s="17">
        <f t="shared" si="3"/>
        <v>68.27366505</v>
      </c>
      <c r="F3" s="13" t="s">
        <v>333</v>
      </c>
      <c r="G3" s="13">
        <v>13.0</v>
      </c>
      <c r="H3" s="36">
        <v>0.1</v>
      </c>
      <c r="I3" s="16" t="b">
        <v>0</v>
      </c>
      <c r="J3" s="13">
        <v>9.0</v>
      </c>
      <c r="K3" s="14"/>
      <c r="L3" s="17">
        <f t="shared" si="4"/>
        <v>7.585962783</v>
      </c>
      <c r="M3" s="13" t="s">
        <v>20</v>
      </c>
      <c r="N3" s="13">
        <v>1648.0</v>
      </c>
      <c r="O3" s="13">
        <v>1648.0</v>
      </c>
      <c r="P3" s="18">
        <f>1154*13</f>
        <v>15002</v>
      </c>
      <c r="Q3" s="18">
        <f>15002*2.5</f>
        <v>37505</v>
      </c>
    </row>
    <row r="4" ht="22.5" customHeight="1">
      <c r="A4" s="56" t="s">
        <v>334</v>
      </c>
      <c r="B4" s="14">
        <f t="shared" si="1"/>
        <v>2.400080906</v>
      </c>
      <c r="C4" s="13" t="s">
        <v>335</v>
      </c>
      <c r="D4" s="14">
        <f t="shared" si="2"/>
        <v>14.40048544</v>
      </c>
      <c r="E4" s="19">
        <f t="shared" si="3"/>
        <v>43.20145631</v>
      </c>
      <c r="F4" s="13" t="s">
        <v>336</v>
      </c>
      <c r="G4" s="13">
        <v>1.0</v>
      </c>
      <c r="H4" s="36">
        <v>1.0</v>
      </c>
      <c r="I4" s="16" t="b">
        <v>0</v>
      </c>
      <c r="J4" s="13">
        <v>5.0</v>
      </c>
      <c r="K4" s="17">
        <f>B4/J4</f>
        <v>0.4800161812</v>
      </c>
      <c r="L4" s="17">
        <f t="shared" si="4"/>
        <v>8.640291262</v>
      </c>
      <c r="M4" s="13" t="s">
        <v>39</v>
      </c>
      <c r="N4" s="13">
        <v>1648.0</v>
      </c>
      <c r="O4" s="13">
        <v>1648.0</v>
      </c>
      <c r="P4" s="18">
        <f>11866/3</f>
        <v>3955.333333</v>
      </c>
      <c r="Q4" s="18">
        <f>P4*6</f>
        <v>23732</v>
      </c>
    </row>
    <row r="5" ht="22.5" customHeight="1">
      <c r="A5" s="56" t="s">
        <v>337</v>
      </c>
      <c r="B5" s="14">
        <f t="shared" si="1"/>
        <v>14</v>
      </c>
      <c r="C5" s="13"/>
      <c r="D5" s="14">
        <f t="shared" si="2"/>
        <v>14</v>
      </c>
      <c r="E5" s="17">
        <f t="shared" si="3"/>
        <v>42</v>
      </c>
      <c r="F5" s="13" t="s">
        <v>210</v>
      </c>
      <c r="G5" s="13">
        <v>1.0</v>
      </c>
      <c r="H5" s="36" t="s">
        <v>338</v>
      </c>
      <c r="I5" s="16" t="b">
        <v>0</v>
      </c>
      <c r="J5" s="13" t="s">
        <v>296</v>
      </c>
      <c r="K5" s="14"/>
      <c r="L5" s="17"/>
      <c r="M5" s="20" t="s">
        <v>25</v>
      </c>
      <c r="N5" s="13">
        <v>1648.0</v>
      </c>
      <c r="O5" s="13">
        <v>1648.0</v>
      </c>
      <c r="P5" s="18">
        <v>23072.0</v>
      </c>
      <c r="Q5" s="18">
        <f>69216/3</f>
        <v>23072</v>
      </c>
    </row>
    <row r="6" ht="22.5" customHeight="1">
      <c r="A6" s="56" t="s">
        <v>339</v>
      </c>
      <c r="B6" s="14">
        <f t="shared" si="1"/>
        <v>12.08947209</v>
      </c>
      <c r="C6" s="13" t="s">
        <v>340</v>
      </c>
      <c r="D6" s="14">
        <f t="shared" si="2"/>
        <v>18.13379854</v>
      </c>
      <c r="E6" s="17">
        <f>B6*3</f>
        <v>36.26841626</v>
      </c>
      <c r="F6" s="13" t="s">
        <v>341</v>
      </c>
      <c r="G6" s="13">
        <v>3.0</v>
      </c>
      <c r="H6" s="36">
        <v>0.5</v>
      </c>
      <c r="I6" s="16" t="b">
        <v>0</v>
      </c>
      <c r="J6" s="13">
        <v>4.0</v>
      </c>
      <c r="K6" s="17">
        <f>B6/J6</f>
        <v>3.022368022</v>
      </c>
      <c r="L6" s="17">
        <f>E6/J6</f>
        <v>9.067104066</v>
      </c>
      <c r="M6" s="13" t="s">
        <v>68</v>
      </c>
      <c r="N6" s="13">
        <v>1648.0</v>
      </c>
      <c r="O6" s="13">
        <v>1648.0</v>
      </c>
      <c r="P6" s="18">
        <f>1257*15.85</f>
        <v>19923.45</v>
      </c>
      <c r="Q6" s="18">
        <f>19923*1.5</f>
        <v>29884.5</v>
      </c>
    </row>
    <row r="7" ht="22.5" customHeight="1">
      <c r="A7" s="56" t="s">
        <v>342</v>
      </c>
      <c r="B7" s="14">
        <f t="shared" si="1"/>
        <v>9.600323625</v>
      </c>
      <c r="C7" s="13"/>
      <c r="D7" s="14">
        <f t="shared" si="2"/>
        <v>9.600323625</v>
      </c>
      <c r="E7" s="17">
        <f t="shared" ref="E7:E10" si="6">D7*3</f>
        <v>28.80097087</v>
      </c>
      <c r="F7" s="13" t="s">
        <v>343</v>
      </c>
      <c r="G7" s="13">
        <v>16.0</v>
      </c>
      <c r="H7" s="13">
        <v>0.1</v>
      </c>
      <c r="I7" s="16" t="b">
        <v>0</v>
      </c>
      <c r="J7" s="13" t="s">
        <v>19</v>
      </c>
      <c r="K7" s="17"/>
      <c r="L7" s="17"/>
      <c r="M7" s="13" t="s">
        <v>20</v>
      </c>
      <c r="N7" s="13">
        <v>1648.0</v>
      </c>
      <c r="O7" s="13">
        <v>1648.0</v>
      </c>
      <c r="P7" s="18">
        <f t="shared" ref="P7:Q7" si="5">5933*8/3</f>
        <v>15821.33333</v>
      </c>
      <c r="Q7" s="18">
        <f t="shared" si="5"/>
        <v>15821.33333</v>
      </c>
    </row>
    <row r="8" ht="22.5" customHeight="1">
      <c r="A8" s="56" t="s">
        <v>344</v>
      </c>
      <c r="B8" s="14">
        <f t="shared" si="1"/>
        <v>3</v>
      </c>
      <c r="C8" s="13" t="s">
        <v>345</v>
      </c>
      <c r="D8" s="14">
        <f t="shared" si="2"/>
        <v>7.5</v>
      </c>
      <c r="E8" s="17">
        <f t="shared" si="6"/>
        <v>22.5</v>
      </c>
      <c r="F8" s="13" t="s">
        <v>346</v>
      </c>
      <c r="G8" s="13">
        <v>1.0</v>
      </c>
      <c r="H8" s="13">
        <v>1.0</v>
      </c>
      <c r="I8" s="16" t="b">
        <v>0</v>
      </c>
      <c r="J8" s="13">
        <v>5.0</v>
      </c>
      <c r="K8" s="17">
        <f t="shared" ref="K8:K12" si="7">B8/J8</f>
        <v>0.6</v>
      </c>
      <c r="L8" s="17">
        <f t="shared" ref="L8:L12" si="8">E8/J8</f>
        <v>4.5</v>
      </c>
      <c r="M8" s="20" t="s">
        <v>68</v>
      </c>
      <c r="N8" s="13">
        <v>1648.0</v>
      </c>
      <c r="O8" s="13">
        <v>1648.0</v>
      </c>
      <c r="P8" s="18">
        <v>4944.0</v>
      </c>
      <c r="Q8" s="18">
        <f>4944*2.5</f>
        <v>12360</v>
      </c>
    </row>
    <row r="9" ht="22.5" customHeight="1">
      <c r="A9" s="56" t="s">
        <v>347</v>
      </c>
      <c r="B9" s="14">
        <f t="shared" si="1"/>
        <v>6</v>
      </c>
      <c r="C9" s="13"/>
      <c r="D9" s="14">
        <f t="shared" si="2"/>
        <v>6</v>
      </c>
      <c r="E9" s="17">
        <f t="shared" si="6"/>
        <v>18</v>
      </c>
      <c r="F9" s="13" t="s">
        <v>348</v>
      </c>
      <c r="G9" s="13">
        <v>1.0</v>
      </c>
      <c r="H9" s="36" t="s">
        <v>349</v>
      </c>
      <c r="I9" s="16" t="b">
        <v>0</v>
      </c>
      <c r="J9" s="13">
        <v>7.0</v>
      </c>
      <c r="K9" s="17">
        <f t="shared" si="7"/>
        <v>0.8571428571</v>
      </c>
      <c r="L9" s="17">
        <f t="shared" si="8"/>
        <v>2.571428571</v>
      </c>
      <c r="M9" s="13" t="s">
        <v>44</v>
      </c>
      <c r="N9" s="13">
        <v>1648.0</v>
      </c>
      <c r="O9" s="13">
        <v>1648.0</v>
      </c>
      <c r="P9" s="18">
        <v>9888.0</v>
      </c>
      <c r="Q9" s="18">
        <v>9888.0</v>
      </c>
    </row>
    <row r="10" ht="22.5" customHeight="1">
      <c r="A10" s="56" t="s">
        <v>350</v>
      </c>
      <c r="B10" s="14">
        <f t="shared" si="1"/>
        <v>4.899878641</v>
      </c>
      <c r="C10" s="13"/>
      <c r="D10" s="14">
        <f t="shared" si="2"/>
        <v>4.899878641</v>
      </c>
      <c r="E10" s="17">
        <f t="shared" si="6"/>
        <v>14.69963592</v>
      </c>
      <c r="F10" s="13" t="s">
        <v>351</v>
      </c>
      <c r="G10" s="13">
        <v>5.0</v>
      </c>
      <c r="H10" s="36">
        <v>0.3</v>
      </c>
      <c r="I10" s="16" t="b">
        <v>1</v>
      </c>
      <c r="J10" s="13">
        <v>9.0</v>
      </c>
      <c r="K10" s="17">
        <f t="shared" si="7"/>
        <v>0.5444309601</v>
      </c>
      <c r="L10" s="17">
        <f t="shared" si="8"/>
        <v>1.63329288</v>
      </c>
      <c r="M10" s="25" t="s">
        <v>20</v>
      </c>
      <c r="N10" s="13">
        <v>1648.0</v>
      </c>
      <c r="O10" s="13">
        <v>1648.0</v>
      </c>
      <c r="P10" s="18">
        <f t="shared" ref="P10:Q10" si="9">1615*5</f>
        <v>8075</v>
      </c>
      <c r="Q10" s="18">
        <f t="shared" si="9"/>
        <v>8075</v>
      </c>
    </row>
    <row r="11" ht="22.5" customHeight="1">
      <c r="A11" s="56" t="s">
        <v>352</v>
      </c>
      <c r="B11" s="14">
        <f t="shared" si="1"/>
        <v>4.899878641</v>
      </c>
      <c r="C11" s="13" t="s">
        <v>353</v>
      </c>
      <c r="D11" s="14">
        <f t="shared" si="2"/>
        <v>9.799757282</v>
      </c>
      <c r="E11" s="17">
        <f t="shared" ref="E11:E12" si="10">B11*3</f>
        <v>14.69963592</v>
      </c>
      <c r="F11" s="13" t="s">
        <v>354</v>
      </c>
      <c r="G11" s="57" t="s">
        <v>355</v>
      </c>
      <c r="H11" s="36">
        <v>0.3</v>
      </c>
      <c r="I11" s="16" t="b">
        <v>0</v>
      </c>
      <c r="J11" s="13">
        <v>7.0</v>
      </c>
      <c r="K11" s="17">
        <f t="shared" si="7"/>
        <v>0.699982663</v>
      </c>
      <c r="L11" s="17">
        <f t="shared" si="8"/>
        <v>2.099947989</v>
      </c>
      <c r="M11" s="13" t="s">
        <v>44</v>
      </c>
      <c r="N11" s="13">
        <v>1648.0</v>
      </c>
      <c r="O11" s="13">
        <v>1648.0</v>
      </c>
      <c r="P11" s="18">
        <v>8075.0</v>
      </c>
      <c r="Q11" s="18">
        <v>16150.0</v>
      </c>
    </row>
    <row r="12" ht="22.5" customHeight="1">
      <c r="A12" s="56" t="s">
        <v>356</v>
      </c>
      <c r="B12" s="14">
        <f t="shared" si="1"/>
        <v>4.399878641</v>
      </c>
      <c r="C12" s="13" t="s">
        <v>357</v>
      </c>
      <c r="D12" s="14">
        <f t="shared" si="2"/>
        <v>6.599817961</v>
      </c>
      <c r="E12" s="17">
        <f t="shared" si="10"/>
        <v>13.19963592</v>
      </c>
      <c r="F12" s="13" t="s">
        <v>358</v>
      </c>
      <c r="G12" s="13">
        <v>2.0</v>
      </c>
      <c r="H12" s="36">
        <v>0.7</v>
      </c>
      <c r="I12" s="24"/>
      <c r="J12" s="13">
        <v>3.0</v>
      </c>
      <c r="K12" s="17">
        <f t="shared" si="7"/>
        <v>1.466626214</v>
      </c>
      <c r="L12" s="17">
        <f t="shared" si="8"/>
        <v>4.399878641</v>
      </c>
      <c r="M12" s="13" t="s">
        <v>25</v>
      </c>
      <c r="N12" s="13">
        <v>1648.0</v>
      </c>
      <c r="O12" s="13">
        <v>1648.0</v>
      </c>
      <c r="P12" s="18">
        <v>7251.0</v>
      </c>
      <c r="Q12" s="18">
        <f>P12*1.5</f>
        <v>10876.5</v>
      </c>
    </row>
    <row r="13" ht="21.0" customHeight="1">
      <c r="A13" s="56" t="s">
        <v>359</v>
      </c>
      <c r="B13" s="14">
        <f t="shared" si="1"/>
        <v>3.600121359</v>
      </c>
      <c r="C13" s="13"/>
      <c r="D13" s="14">
        <f t="shared" si="2"/>
        <v>3.600121359</v>
      </c>
      <c r="E13" s="17">
        <f>D13*3</f>
        <v>10.80036408</v>
      </c>
      <c r="F13" s="13" t="s">
        <v>221</v>
      </c>
      <c r="G13" s="13">
        <v>1.0</v>
      </c>
      <c r="H13" s="36">
        <v>1.0</v>
      </c>
      <c r="I13" s="16" t="b">
        <v>1</v>
      </c>
      <c r="J13" s="13" t="s">
        <v>62</v>
      </c>
      <c r="K13" s="14"/>
      <c r="L13" s="17"/>
      <c r="M13" s="13" t="s">
        <v>39</v>
      </c>
      <c r="N13" s="13">
        <v>1648.0</v>
      </c>
      <c r="O13" s="13">
        <v>1648.0</v>
      </c>
      <c r="P13" s="18">
        <f t="shared" ref="P13:Q13" si="11">11866/2</f>
        <v>5933</v>
      </c>
      <c r="Q13" s="18">
        <f t="shared" si="11"/>
        <v>5933</v>
      </c>
    </row>
    <row r="14" ht="21.0" customHeight="1">
      <c r="A14" s="56" t="s">
        <v>360</v>
      </c>
      <c r="B14" s="14">
        <f t="shared" si="1"/>
        <v>3.527002427</v>
      </c>
      <c r="C14" s="13" t="s">
        <v>353</v>
      </c>
      <c r="D14" s="14">
        <f t="shared" si="2"/>
        <v>7.054004854</v>
      </c>
      <c r="E14" s="17">
        <f t="shared" ref="E14:E16" si="12">B14*3</f>
        <v>10.58100728</v>
      </c>
      <c r="F14" s="13" t="s">
        <v>361</v>
      </c>
      <c r="G14" s="13">
        <v>5.0</v>
      </c>
      <c r="H14" s="36">
        <v>0.3</v>
      </c>
      <c r="I14" s="16" t="b">
        <v>0</v>
      </c>
      <c r="J14" s="13">
        <v>6.0</v>
      </c>
      <c r="K14" s="14"/>
      <c r="L14" s="17">
        <f t="shared" ref="L14:L24" si="13">E14/J14</f>
        <v>1.763501214</v>
      </c>
      <c r="M14" s="13" t="s">
        <v>25</v>
      </c>
      <c r="N14" s="13">
        <v>1648.0</v>
      </c>
      <c r="O14" s="13">
        <v>1648.0</v>
      </c>
      <c r="P14" s="18">
        <f>11625/2</f>
        <v>5812.5</v>
      </c>
      <c r="Q14" s="18">
        <v>11625.0</v>
      </c>
    </row>
    <row r="15" ht="21.0" customHeight="1">
      <c r="A15" s="56" t="s">
        <v>362</v>
      </c>
      <c r="B15" s="14">
        <f t="shared" si="1"/>
        <v>3</v>
      </c>
      <c r="C15" s="13" t="s">
        <v>357</v>
      </c>
      <c r="D15" s="14">
        <f t="shared" si="2"/>
        <v>6</v>
      </c>
      <c r="E15" s="17">
        <f t="shared" si="12"/>
        <v>9</v>
      </c>
      <c r="F15" s="13" t="s">
        <v>363</v>
      </c>
      <c r="G15" s="13">
        <v>2.0</v>
      </c>
      <c r="H15" s="36">
        <v>0.7</v>
      </c>
      <c r="I15" s="24"/>
      <c r="J15" s="13">
        <v>5.0</v>
      </c>
      <c r="K15" s="17">
        <f t="shared" ref="K15:K24" si="14">B15/J15</f>
        <v>0.6</v>
      </c>
      <c r="L15" s="17">
        <f t="shared" si="13"/>
        <v>1.8</v>
      </c>
      <c r="M15" s="13" t="s">
        <v>39</v>
      </c>
      <c r="N15" s="13">
        <v>1648.0</v>
      </c>
      <c r="O15" s="13">
        <v>1648.0</v>
      </c>
      <c r="P15" s="18">
        <v>4944.0</v>
      </c>
      <c r="Q15" s="18">
        <v>9888.0</v>
      </c>
    </row>
    <row r="16" ht="21.0" customHeight="1">
      <c r="A16" s="56" t="s">
        <v>364</v>
      </c>
      <c r="B16" s="14">
        <f t="shared" si="1"/>
        <v>2</v>
      </c>
      <c r="C16" s="13" t="s">
        <v>357</v>
      </c>
      <c r="D16" s="14">
        <f t="shared" si="2"/>
        <v>4</v>
      </c>
      <c r="E16" s="17">
        <f t="shared" si="12"/>
        <v>6</v>
      </c>
      <c r="F16" s="13" t="s">
        <v>365</v>
      </c>
      <c r="G16" s="13">
        <v>3.0</v>
      </c>
      <c r="H16" s="36">
        <v>0.5</v>
      </c>
      <c r="I16" s="16" t="b">
        <v>0</v>
      </c>
      <c r="J16" s="13">
        <v>4.0</v>
      </c>
      <c r="K16" s="17">
        <f t="shared" si="14"/>
        <v>0.5</v>
      </c>
      <c r="L16" s="17">
        <f t="shared" si="13"/>
        <v>1.5</v>
      </c>
      <c r="M16" s="13" t="s">
        <v>39</v>
      </c>
      <c r="N16" s="13">
        <v>1648.0</v>
      </c>
      <c r="O16" s="13">
        <v>1648.0</v>
      </c>
      <c r="P16" s="18">
        <v>3296.0</v>
      </c>
      <c r="Q16" s="18">
        <v>6592.0</v>
      </c>
    </row>
    <row r="17" ht="21.0" customHeight="1">
      <c r="A17" s="56" t="s">
        <v>366</v>
      </c>
      <c r="B17" s="14">
        <f t="shared" si="1"/>
        <v>1.979773463</v>
      </c>
      <c r="C17" s="13"/>
      <c r="D17" s="14">
        <f t="shared" si="2"/>
        <v>1.979773463</v>
      </c>
      <c r="E17" s="17">
        <f>D17*3</f>
        <v>5.939320388</v>
      </c>
      <c r="F17" s="13" t="s">
        <v>367</v>
      </c>
      <c r="G17" s="57" t="s">
        <v>368</v>
      </c>
      <c r="H17" s="36">
        <v>0.3</v>
      </c>
      <c r="I17" s="24"/>
      <c r="J17" s="13">
        <v>4.0</v>
      </c>
      <c r="K17" s="17">
        <f t="shared" si="14"/>
        <v>0.4949433657</v>
      </c>
      <c r="L17" s="17">
        <f t="shared" si="13"/>
        <v>1.484830097</v>
      </c>
      <c r="M17" s="13" t="s">
        <v>39</v>
      </c>
      <c r="N17" s="13">
        <v>1648.0</v>
      </c>
      <c r="O17" s="13">
        <v>1648.0</v>
      </c>
      <c r="P17" s="18">
        <f t="shared" ref="P17:Q17" si="15">9788/3</f>
        <v>3262.666667</v>
      </c>
      <c r="Q17" s="18">
        <f t="shared" si="15"/>
        <v>3262.666667</v>
      </c>
    </row>
    <row r="18" ht="24.0" customHeight="1">
      <c r="A18" s="56" t="s">
        <v>369</v>
      </c>
      <c r="B18" s="14">
        <f t="shared" si="1"/>
        <v>1.80006068</v>
      </c>
      <c r="C18" s="13" t="s">
        <v>357</v>
      </c>
      <c r="D18" s="14">
        <f t="shared" si="2"/>
        <v>2.700091019</v>
      </c>
      <c r="E18" s="17">
        <f t="shared" ref="E18:E20" si="16">B18*3</f>
        <v>5.400182039</v>
      </c>
      <c r="F18" s="13" t="s">
        <v>370</v>
      </c>
      <c r="G18" s="13">
        <v>1.0</v>
      </c>
      <c r="H18" s="36">
        <v>1.0</v>
      </c>
      <c r="I18" s="24"/>
      <c r="J18" s="13">
        <v>3.0</v>
      </c>
      <c r="K18" s="17">
        <f t="shared" si="14"/>
        <v>0.6000202265</v>
      </c>
      <c r="L18" s="17">
        <f t="shared" si="13"/>
        <v>1.80006068</v>
      </c>
      <c r="M18" s="13" t="s">
        <v>68</v>
      </c>
      <c r="N18" s="13">
        <v>1648.0</v>
      </c>
      <c r="O18" s="13">
        <v>1648.0</v>
      </c>
      <c r="P18" s="18">
        <f>5933/2</f>
        <v>2966.5</v>
      </c>
      <c r="Q18" s="18">
        <f>P18*1.5</f>
        <v>4449.75</v>
      </c>
    </row>
    <row r="19" ht="24.0" customHeight="1">
      <c r="A19" s="56" t="s">
        <v>371</v>
      </c>
      <c r="B19" s="14">
        <f t="shared" si="1"/>
        <v>1.549757282</v>
      </c>
      <c r="C19" s="13" t="s">
        <v>357</v>
      </c>
      <c r="D19" s="14">
        <f t="shared" si="2"/>
        <v>3.099514563</v>
      </c>
      <c r="E19" s="17">
        <f t="shared" si="16"/>
        <v>4.649271845</v>
      </c>
      <c r="F19" s="13" t="s">
        <v>372</v>
      </c>
      <c r="G19" s="58">
        <v>45935.0</v>
      </c>
      <c r="H19" s="13">
        <v>0.3</v>
      </c>
      <c r="I19" s="16" t="b">
        <v>0</v>
      </c>
      <c r="J19" s="13">
        <v>3.0</v>
      </c>
      <c r="K19" s="17">
        <f t="shared" si="14"/>
        <v>0.5165857605</v>
      </c>
      <c r="L19" s="17">
        <f t="shared" si="13"/>
        <v>1.549757282</v>
      </c>
      <c r="M19" s="13" t="s">
        <v>68</v>
      </c>
      <c r="N19" s="13">
        <v>1648.0</v>
      </c>
      <c r="O19" s="13">
        <v>1648.0</v>
      </c>
      <c r="P19" s="18">
        <f>(1483*4+1730)/3</f>
        <v>2554</v>
      </c>
      <c r="Q19" s="18">
        <f>2554*2</f>
        <v>5108</v>
      </c>
    </row>
    <row r="20" ht="24.0" customHeight="1">
      <c r="A20" s="56" t="s">
        <v>373</v>
      </c>
      <c r="B20" s="14">
        <f t="shared" si="1"/>
        <v>1.212075243</v>
      </c>
      <c r="C20" s="13" t="s">
        <v>353</v>
      </c>
      <c r="D20" s="14">
        <f t="shared" si="2"/>
        <v>2.424150485</v>
      </c>
      <c r="E20" s="17">
        <f t="shared" si="16"/>
        <v>3.636225728</v>
      </c>
      <c r="F20" s="13" t="s">
        <v>374</v>
      </c>
      <c r="G20" s="13">
        <v>1.0</v>
      </c>
      <c r="H20" s="36">
        <v>2.0</v>
      </c>
      <c r="I20" s="24"/>
      <c r="J20" s="13">
        <v>2.0</v>
      </c>
      <c r="K20" s="17">
        <f t="shared" si="14"/>
        <v>0.6060376214</v>
      </c>
      <c r="L20" s="17">
        <f t="shared" si="13"/>
        <v>1.818112864</v>
      </c>
      <c r="M20" s="13" t="s">
        <v>68</v>
      </c>
      <c r="N20" s="13">
        <v>1648.0</v>
      </c>
      <c r="O20" s="13">
        <v>1648.0</v>
      </c>
      <c r="P20" s="18">
        <f>3995/2</f>
        <v>1997.5</v>
      </c>
      <c r="Q20" s="18">
        <v>3995.0</v>
      </c>
    </row>
    <row r="21" ht="24.0" customHeight="1">
      <c r="A21" s="56" t="s">
        <v>375</v>
      </c>
      <c r="B21" s="14">
        <f t="shared" si="1"/>
        <v>1.200242718</v>
      </c>
      <c r="C21" s="13"/>
      <c r="D21" s="14">
        <f t="shared" si="2"/>
        <v>1.200242718</v>
      </c>
      <c r="E21" s="17">
        <f t="shared" ref="E21:E22" si="17">D21*3</f>
        <v>3.600728155</v>
      </c>
      <c r="F21" s="13" t="s">
        <v>376</v>
      </c>
      <c r="G21" s="58">
        <v>45962.0</v>
      </c>
      <c r="H21" s="36">
        <v>1.0</v>
      </c>
      <c r="I21" s="16" t="b">
        <v>0</v>
      </c>
      <c r="J21" s="13">
        <v>2.0</v>
      </c>
      <c r="K21" s="17">
        <f t="shared" si="14"/>
        <v>0.6001213592</v>
      </c>
      <c r="L21" s="17">
        <f t="shared" si="13"/>
        <v>1.800364078</v>
      </c>
      <c r="M21" s="13" t="s">
        <v>68</v>
      </c>
      <c r="N21" s="13">
        <v>1648.0</v>
      </c>
      <c r="O21" s="13">
        <v>1648.0</v>
      </c>
      <c r="P21" s="18">
        <v>1978.0</v>
      </c>
      <c r="Q21" s="18">
        <v>1978.0</v>
      </c>
    </row>
    <row r="22" ht="24.0" customHeight="1">
      <c r="A22" s="56" t="s">
        <v>377</v>
      </c>
      <c r="B22" s="14">
        <f t="shared" si="1"/>
        <v>0.8998786408</v>
      </c>
      <c r="C22" s="13"/>
      <c r="D22" s="14">
        <f t="shared" si="2"/>
        <v>0.8998786408</v>
      </c>
      <c r="E22" s="17">
        <f t="shared" si="17"/>
        <v>2.699635922</v>
      </c>
      <c r="F22" s="13" t="s">
        <v>378</v>
      </c>
      <c r="G22" s="13">
        <v>3.0</v>
      </c>
      <c r="H22" s="36">
        <v>0.7</v>
      </c>
      <c r="I22" s="24"/>
      <c r="J22" s="13">
        <v>1.0</v>
      </c>
      <c r="K22" s="17">
        <f t="shared" si="14"/>
        <v>0.8998786408</v>
      </c>
      <c r="L22" s="17">
        <f t="shared" si="13"/>
        <v>2.699635922</v>
      </c>
      <c r="M22" s="13" t="s">
        <v>68</v>
      </c>
      <c r="N22" s="13">
        <v>1648.0</v>
      </c>
      <c r="O22" s="13">
        <v>1648.0</v>
      </c>
      <c r="P22" s="18">
        <v>1483.0</v>
      </c>
      <c r="Q22" s="18">
        <v>1483.0</v>
      </c>
    </row>
    <row r="23" ht="24.0" customHeight="1">
      <c r="A23" s="56" t="s">
        <v>379</v>
      </c>
      <c r="B23" s="14">
        <f t="shared" si="1"/>
        <v>0.8398058252</v>
      </c>
      <c r="C23" s="13" t="s">
        <v>353</v>
      </c>
      <c r="D23" s="14">
        <f t="shared" si="2"/>
        <v>1.259708738</v>
      </c>
      <c r="E23" s="17">
        <f t="shared" ref="E23:E25" si="18">B23*3</f>
        <v>2.519417476</v>
      </c>
      <c r="F23" s="13" t="s">
        <v>380</v>
      </c>
      <c r="G23" s="13">
        <v>1.0</v>
      </c>
      <c r="H23" s="36" t="s">
        <v>330</v>
      </c>
      <c r="I23" s="16" t="b">
        <v>1</v>
      </c>
      <c r="J23" s="13">
        <v>2.0</v>
      </c>
      <c r="K23" s="17">
        <f t="shared" si="14"/>
        <v>0.4199029126</v>
      </c>
      <c r="L23" s="17">
        <f t="shared" si="13"/>
        <v>1.259708738</v>
      </c>
      <c r="M23" s="13" t="s">
        <v>68</v>
      </c>
      <c r="N23" s="13">
        <v>1648.0</v>
      </c>
      <c r="O23" s="13">
        <v>1648.0</v>
      </c>
      <c r="P23" s="18">
        <v>1384.0</v>
      </c>
      <c r="Q23" s="18">
        <f>1384*1.5</f>
        <v>2076</v>
      </c>
    </row>
    <row r="24" ht="24.0" customHeight="1">
      <c r="A24" s="56" t="s">
        <v>381</v>
      </c>
      <c r="B24" s="14">
        <f t="shared" si="1"/>
        <v>0.7627427184</v>
      </c>
      <c r="C24" s="13" t="s">
        <v>353</v>
      </c>
      <c r="D24" s="14">
        <f t="shared" si="2"/>
        <v>1.144114078</v>
      </c>
      <c r="E24" s="17">
        <f t="shared" si="18"/>
        <v>2.288228155</v>
      </c>
      <c r="F24" s="13" t="s">
        <v>341</v>
      </c>
      <c r="G24" s="13">
        <v>3.0</v>
      </c>
      <c r="H24" s="36">
        <v>0.5</v>
      </c>
      <c r="I24" s="16" t="b">
        <v>0</v>
      </c>
      <c r="J24" s="13">
        <v>4.0</v>
      </c>
      <c r="K24" s="17">
        <f t="shared" si="14"/>
        <v>0.1906856796</v>
      </c>
      <c r="L24" s="17">
        <f t="shared" si="13"/>
        <v>0.5720570388</v>
      </c>
      <c r="M24" s="13" t="s">
        <v>68</v>
      </c>
      <c r="N24" s="13">
        <v>1648.0</v>
      </c>
      <c r="O24" s="13">
        <v>1648.0</v>
      </c>
      <c r="P24" s="18">
        <v>1257.0</v>
      </c>
      <c r="Q24" s="18">
        <f>1257*1.5</f>
        <v>1885.5</v>
      </c>
      <c r="S24" s="28" t="s">
        <v>65</v>
      </c>
    </row>
    <row r="25" ht="24.0" customHeight="1">
      <c r="A25" s="13" t="s">
        <v>83</v>
      </c>
      <c r="B25" s="14">
        <f t="shared" si="1"/>
        <v>0.1498786408</v>
      </c>
      <c r="C25" s="13"/>
      <c r="D25" s="14">
        <f t="shared" si="2"/>
        <v>0</v>
      </c>
      <c r="E25" s="17">
        <f t="shared" si="18"/>
        <v>0.4496359223</v>
      </c>
      <c r="F25" s="13"/>
      <c r="G25" s="13"/>
      <c r="H25" s="36"/>
      <c r="I25" s="16" t="b">
        <v>0</v>
      </c>
      <c r="J25" s="13"/>
      <c r="K25" s="14"/>
      <c r="L25" s="14"/>
      <c r="M25" s="29"/>
      <c r="N25" s="13">
        <v>1648.0</v>
      </c>
      <c r="O25" s="13">
        <v>1648.0</v>
      </c>
      <c r="P25" s="18">
        <v>247.0</v>
      </c>
      <c r="Q25" s="30"/>
    </row>
    <row r="26" ht="24.0" customHeight="1">
      <c r="A26" s="13" t="s">
        <v>80</v>
      </c>
      <c r="B26" s="14">
        <f t="shared" si="1"/>
        <v>1</v>
      </c>
      <c r="C26" s="13"/>
      <c r="D26" s="14">
        <f t="shared" si="2"/>
        <v>0</v>
      </c>
      <c r="E26" s="14"/>
      <c r="F26" s="13"/>
      <c r="G26" s="13"/>
      <c r="H26" s="13"/>
      <c r="I26" s="16" t="b">
        <v>0</v>
      </c>
      <c r="J26" s="13"/>
      <c r="K26" s="14"/>
      <c r="L26" s="14"/>
      <c r="M26" s="13"/>
      <c r="N26" s="13">
        <v>1648.0</v>
      </c>
      <c r="O26" s="13">
        <v>1648.0</v>
      </c>
      <c r="P26" s="18">
        <v>1648.0</v>
      </c>
      <c r="Q26" s="18"/>
      <c r="S26" s="28" t="s">
        <v>382</v>
      </c>
    </row>
    <row r="27" ht="24.0" customHeight="1">
      <c r="A27" s="13" t="s">
        <v>258</v>
      </c>
      <c r="B27" s="14">
        <f t="shared" si="1"/>
        <v>7.049959547</v>
      </c>
      <c r="C27" s="13"/>
      <c r="D27" s="14">
        <f t="shared" si="2"/>
        <v>0</v>
      </c>
      <c r="E27" s="14"/>
      <c r="F27" s="13"/>
      <c r="G27" s="13"/>
      <c r="H27" s="36"/>
      <c r="I27" s="16" t="b">
        <v>0</v>
      </c>
      <c r="J27" s="13"/>
      <c r="K27" s="14"/>
      <c r="L27" s="14"/>
      <c r="M27" s="29"/>
      <c r="N27" s="13">
        <v>1648.0</v>
      </c>
      <c r="O27" s="13">
        <v>1648.0</v>
      </c>
      <c r="P27" s="18">
        <f>34855/3</f>
        <v>11618.33333</v>
      </c>
      <c r="Q27" s="18"/>
    </row>
    <row r="28" ht="24.0" customHeight="1">
      <c r="K28" s="31"/>
      <c r="L28" s="31"/>
      <c r="S28" s="28" t="s">
        <v>77</v>
      </c>
    </row>
    <row r="29" ht="24.0" customHeight="1">
      <c r="K29" s="31"/>
      <c r="L29" s="31"/>
    </row>
    <row r="30" ht="24.0" customHeight="1">
      <c r="K30" s="31"/>
      <c r="L30" s="31"/>
      <c r="S30" s="28" t="s">
        <v>81</v>
      </c>
    </row>
    <row r="31" ht="24.0" customHeight="1"/>
    <row r="32" ht="24.0" customHeight="1"/>
    <row r="33" ht="24.0" customHeight="1"/>
    <row r="34" ht="24.0" customHeight="1"/>
    <row r="35" ht="24.0" customHeight="1"/>
    <row r="36" ht="24.0" customHeight="1"/>
    <row r="37" ht="24.0" customHeight="1"/>
  </sheetData>
  <dataValidations>
    <dataValidation type="custom" allowBlank="1" showDropDown="1" sqref="B2:B27 D2:D27 K2:L27 P2:Q27">
      <formula1>AND(ISNUMBER(B2),(NOT(OR(NOT(ISERROR(DATEVALUE(B2))), AND(ISNUMBER(B2), LEFT(CELL("format", B2))="D")))))</formula1>
    </dataValidation>
  </dataValidations>
  <hyperlinks>
    <hyperlink r:id="rId1" ref="S24"/>
    <hyperlink r:id="rId2" ref="S26"/>
    <hyperlink r:id="rId3" ref="S28"/>
    <hyperlink r:id="rId4" ref="S30"/>
  </hyperlinks>
  <drawing r:id="rId5"/>
  <tableParts count="1">
    <tablePart r:id="rId7"/>
  </tableParts>
</worksheet>
</file>